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ml.chartshape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ml.chartshapes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Usuário\Downloads\"/>
    </mc:Choice>
  </mc:AlternateContent>
  <xr:revisionPtr revIDLastSave="0" documentId="8_{51D6A11E-E39F-4C7F-B183-8E9CBFFDDDD7}" xr6:coauthVersionLast="47" xr6:coauthVersionMax="47" xr10:uidLastSave="{00000000-0000-0000-0000-000000000000}"/>
  <bookViews>
    <workbookView xWindow="-120" yWindow="-120" windowWidth="19440" windowHeight="15000" tabRatio="635" xr2:uid="{37D379CE-19BE-43C4-B78D-388205F06BC8}"/>
  </bookViews>
  <sheets>
    <sheet name="Base_dados_Estoque" sheetId="1" r:id="rId1"/>
    <sheet name="Cadastro_Produtos" sheetId="2" r:id="rId2"/>
    <sheet name="Dashboard_Estoque" sheetId="4" r:id="rId3"/>
    <sheet name="OLHA AQUI !!!" sheetId="6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6" i="4" l="1"/>
  <c r="H4" i="1"/>
  <c r="H8" i="1"/>
</calcChain>
</file>

<file path=xl/sharedStrings.xml><?xml version="1.0" encoding="utf-8"?>
<sst xmlns="http://schemas.openxmlformats.org/spreadsheetml/2006/main" count="603" uniqueCount="232">
  <si>
    <t>ID_Movimentacao</t>
  </si>
  <si>
    <t>Data</t>
  </si>
  <si>
    <t>Tipo</t>
  </si>
  <si>
    <t>Produto</t>
  </si>
  <si>
    <t>Categoria</t>
  </si>
  <si>
    <t>Quantidade</t>
  </si>
  <si>
    <t>Valor_Unitario</t>
  </si>
  <si>
    <t>Valor_Total</t>
  </si>
  <si>
    <t>Fornecedor</t>
  </si>
  <si>
    <t>Responsavel</t>
  </si>
  <si>
    <t>CONTROLE DE ESTOQUE</t>
  </si>
  <si>
    <t>Entrada</t>
  </si>
  <si>
    <t>Caneta Azul</t>
  </si>
  <si>
    <t>Escritório</t>
  </si>
  <si>
    <t>Papelaria Alfa</t>
  </si>
  <si>
    <t>Lucas</t>
  </si>
  <si>
    <t>Saída</t>
  </si>
  <si>
    <t>Maria</t>
  </si>
  <si>
    <t>Caderno 100fl</t>
  </si>
  <si>
    <t>Papel A4</t>
  </si>
  <si>
    <t>Distribuidora Sul</t>
  </si>
  <si>
    <t>João</t>
  </si>
  <si>
    <t>Detergente</t>
  </si>
  <si>
    <t>Limpeza</t>
  </si>
  <si>
    <t>Limpeza Total</t>
  </si>
  <si>
    <t>Ana</t>
  </si>
  <si>
    <t>Álcool 70%</t>
  </si>
  <si>
    <t>Caixa Papelão</t>
  </si>
  <si>
    <t>Embalagem</t>
  </si>
  <si>
    <t>Embalagens BR</t>
  </si>
  <si>
    <t>Fita Adesiva</t>
  </si>
  <si>
    <t>Mouse</t>
  </si>
  <si>
    <t>Informática</t>
  </si>
  <si>
    <t>Tech Info</t>
  </si>
  <si>
    <t>Grampeador</t>
  </si>
  <si>
    <t>Marca Texto</t>
  </si>
  <si>
    <t>Sabão Líquido</t>
  </si>
  <si>
    <t>Envelope A4</t>
  </si>
  <si>
    <t>HD Externo</t>
  </si>
  <si>
    <t>Monitor</t>
  </si>
  <si>
    <t>Vassoura</t>
  </si>
  <si>
    <t>Pasta Arquivo</t>
  </si>
  <si>
    <t>Extensão</t>
  </si>
  <si>
    <t>Copo Plástico</t>
  </si>
  <si>
    <t>Papel Toalha</t>
  </si>
  <si>
    <t>Calculadora</t>
  </si>
  <si>
    <t>Notebook</t>
  </si>
  <si>
    <t>Cabo HDMI</t>
  </si>
  <si>
    <t>Saco Plástico</t>
  </si>
  <si>
    <t>Cloro</t>
  </si>
  <si>
    <t>Lápis Preto</t>
  </si>
  <si>
    <t>Cola</t>
  </si>
  <si>
    <t>Tesoura</t>
  </si>
  <si>
    <t>Agenda</t>
  </si>
  <si>
    <t>Clip</t>
  </si>
  <si>
    <t>Filtro</t>
  </si>
  <si>
    <t>Papel Colorido</t>
  </si>
  <si>
    <t>Mousepad</t>
  </si>
  <si>
    <t>Pendrive</t>
  </si>
  <si>
    <t>Caneta Vermelha</t>
  </si>
  <si>
    <t>Marcador Quadro</t>
  </si>
  <si>
    <t>Rolo Fita</t>
  </si>
  <si>
    <t>Papel Cartão</t>
  </si>
  <si>
    <t>Borracha</t>
  </si>
  <si>
    <t>Pasta Suspensa</t>
  </si>
  <si>
    <t>Quadro Branco</t>
  </si>
  <si>
    <t>Toner</t>
  </si>
  <si>
    <t>Cabo USB</t>
  </si>
  <si>
    <t>Fita Isolante</t>
  </si>
  <si>
    <t>Caixa Organizadora</t>
  </si>
  <si>
    <t>Lixeira</t>
  </si>
  <si>
    <t>Grampeador Médio</t>
  </si>
  <si>
    <t>Copo Descartável</t>
  </si>
  <si>
    <t>Rolo Papel</t>
  </si>
  <si>
    <t>Clipes</t>
  </si>
  <si>
    <t>Caderno 100 Folhas</t>
  </si>
  <si>
    <t>Teclado Mecânico 65%</t>
  </si>
  <si>
    <t>CADASTRO DE PRODUTOS - ESTOQUE</t>
  </si>
  <si>
    <t>Id_Produto</t>
  </si>
  <si>
    <t>Valor_Únitario</t>
  </si>
  <si>
    <t>Unidade</t>
  </si>
  <si>
    <t>Estoque_Mínimo</t>
  </si>
  <si>
    <t>Estoque_Máximo</t>
  </si>
  <si>
    <t>Observações</t>
  </si>
  <si>
    <t>P001</t>
  </si>
  <si>
    <t>un</t>
  </si>
  <si>
    <t>Azul ou Vermelha</t>
  </si>
  <si>
    <t>P002</t>
  </si>
  <si>
    <t>Capa dura</t>
  </si>
  <si>
    <t>P003</t>
  </si>
  <si>
    <t>resma</t>
  </si>
  <si>
    <t>Branco</t>
  </si>
  <si>
    <t>P004</t>
  </si>
  <si>
    <t>Papelaria Beta</t>
  </si>
  <si>
    <t>HB</t>
  </si>
  <si>
    <t>P005</t>
  </si>
  <si>
    <t>Borracha Branca</t>
  </si>
  <si>
    <t>Média</t>
  </si>
  <si>
    <t>P006</t>
  </si>
  <si>
    <t>Marcador de Texto</t>
  </si>
  <si>
    <t>Amarelo</t>
  </si>
  <si>
    <t>P007</t>
  </si>
  <si>
    <t>Pasta Larga</t>
  </si>
  <si>
    <t>Plástico</t>
  </si>
  <si>
    <t>P008</t>
  </si>
  <si>
    <t>Médio</t>
  </si>
  <si>
    <t>P009</t>
  </si>
  <si>
    <t>Clips 100g</t>
  </si>
  <si>
    <t>pacote</t>
  </si>
  <si>
    <t>Metálico</t>
  </si>
  <si>
    <t>P010</t>
  </si>
  <si>
    <t>Cola Bastão</t>
  </si>
  <si>
    <t>40g</t>
  </si>
  <si>
    <t>P011</t>
  </si>
  <si>
    <t>Régua 30cm</t>
  </si>
  <si>
    <t>P012</t>
  </si>
  <si>
    <t>Apontador</t>
  </si>
  <si>
    <t>Com depósito</t>
  </si>
  <si>
    <t>P013</t>
  </si>
  <si>
    <t>Transparente</t>
  </si>
  <si>
    <t>P014</t>
  </si>
  <si>
    <t>P015</t>
  </si>
  <si>
    <t>Post-it 50fl</t>
  </si>
  <si>
    <t>bloco</t>
  </si>
  <si>
    <t>P016</t>
  </si>
  <si>
    <t>Bloco de Notas</t>
  </si>
  <si>
    <t>Pequeno</t>
  </si>
  <si>
    <t>P017</t>
  </si>
  <si>
    <t>Vermelha</t>
  </si>
  <si>
    <t>P018</t>
  </si>
  <si>
    <t>Caderno 200fl</t>
  </si>
  <si>
    <t>P019</t>
  </si>
  <si>
    <t>Cartão</t>
  </si>
  <si>
    <t>P020</t>
  </si>
  <si>
    <t>P021</t>
  </si>
  <si>
    <t>Caneta Preta</t>
  </si>
  <si>
    <t>Preta</t>
  </si>
  <si>
    <t>P022</t>
  </si>
  <si>
    <t>Marcador Permanente</t>
  </si>
  <si>
    <t>Preto</t>
  </si>
  <si>
    <t>P023</t>
  </si>
  <si>
    <t>Caderno 50fl</t>
  </si>
  <si>
    <t>Capa mole</t>
  </si>
  <si>
    <t>P024</t>
  </si>
  <si>
    <t>Clips Coloridos</t>
  </si>
  <si>
    <t>Sortidos</t>
  </si>
  <si>
    <t>P025</t>
  </si>
  <si>
    <t>Cola Líquida</t>
  </si>
  <si>
    <t>50ml</t>
  </si>
  <si>
    <t>P026</t>
  </si>
  <si>
    <t>Lápis de Cor 12 cores</t>
  </si>
  <si>
    <t>kit</t>
  </si>
  <si>
    <t>Madeira</t>
  </si>
  <si>
    <t>P027</t>
  </si>
  <si>
    <t>Caneta Verde</t>
  </si>
  <si>
    <t>Verde</t>
  </si>
  <si>
    <t>P028</t>
  </si>
  <si>
    <t>Caderno 150fl</t>
  </si>
  <si>
    <t>P029</t>
  </si>
  <si>
    <t>Bloco A5</t>
  </si>
  <si>
    <t>P030</t>
  </si>
  <si>
    <t>Régua 50cm</t>
  </si>
  <si>
    <t>P031</t>
  </si>
  <si>
    <t>Apontador Duplo</t>
  </si>
  <si>
    <t>P032</t>
  </si>
  <si>
    <t>Pasta Larga Vermelha</t>
  </si>
  <si>
    <t>P033</t>
  </si>
  <si>
    <t>Fita Crepe</t>
  </si>
  <si>
    <t>Marrom</t>
  </si>
  <si>
    <t>P034</t>
  </si>
  <si>
    <t>Tesoura Grande</t>
  </si>
  <si>
    <t>P035</t>
  </si>
  <si>
    <t>Post-it 100fl</t>
  </si>
  <si>
    <t>Sortido</t>
  </si>
  <si>
    <t>P036</t>
  </si>
  <si>
    <t>Bloco de Recados</t>
  </si>
  <si>
    <t>P037</t>
  </si>
  <si>
    <t>Caneta Laranja</t>
  </si>
  <si>
    <t>Laranja</t>
  </si>
  <si>
    <t>P038</t>
  </si>
  <si>
    <t>Caderno 300fl</t>
  </si>
  <si>
    <t>P039</t>
  </si>
  <si>
    <t>Pasta Suspensa Azul</t>
  </si>
  <si>
    <t>Azul</t>
  </si>
  <si>
    <t>P040</t>
  </si>
  <si>
    <t>Envelope Kraft</t>
  </si>
  <si>
    <t>P041</t>
  </si>
  <si>
    <t>Caneta Rosa</t>
  </si>
  <si>
    <t>Rosa</t>
  </si>
  <si>
    <t>P042</t>
  </si>
  <si>
    <t>Marcador Azul</t>
  </si>
  <si>
    <t>P043</t>
  </si>
  <si>
    <t>Caderno 80fl</t>
  </si>
  <si>
    <t>P044</t>
  </si>
  <si>
    <t>Clips Pequenos</t>
  </si>
  <si>
    <t>P045</t>
  </si>
  <si>
    <t>Cola Quente</t>
  </si>
  <si>
    <t>100g</t>
  </si>
  <si>
    <t>P046</t>
  </si>
  <si>
    <t>Lápis Vermelho</t>
  </si>
  <si>
    <t>Vermelho</t>
  </si>
  <si>
    <t>P047</t>
  </si>
  <si>
    <t>Caneta Preta Gel</t>
  </si>
  <si>
    <t>Gel</t>
  </si>
  <si>
    <t>P048</t>
  </si>
  <si>
    <t>Caderno 250fl</t>
  </si>
  <si>
    <t>P049</t>
  </si>
  <si>
    <t>Bloco Notas A6</t>
  </si>
  <si>
    <t>P050</t>
  </si>
  <si>
    <t>Cola Stick 20g</t>
  </si>
  <si>
    <t>DASHBOARD - ESTOQUE</t>
  </si>
  <si>
    <t>ENTRADAS</t>
  </si>
  <si>
    <t>SAÍDAS</t>
  </si>
  <si>
    <t>CATEGORIAS</t>
  </si>
  <si>
    <t>ENTRADA</t>
  </si>
  <si>
    <t>SAÍDA</t>
  </si>
  <si>
    <t>FEVEREIRO</t>
  </si>
  <si>
    <t>TOTAL</t>
  </si>
  <si>
    <t>QUANTIDADES</t>
  </si>
  <si>
    <t>Saldo em Estoque (Quantidade)</t>
  </si>
  <si>
    <t>Total de Entradas e Saídas</t>
  </si>
  <si>
    <t>Quantidade de Estoque ( Categoria )</t>
  </si>
  <si>
    <t>Valor Total Movimentado</t>
  </si>
  <si>
    <t>TOTAL GERAL</t>
  </si>
  <si>
    <t>MÊSES</t>
  </si>
  <si>
    <t>JANEIRO</t>
  </si>
  <si>
    <t>Valor Maior e Menor de Produtos</t>
  </si>
  <si>
    <t>PRODUTOS</t>
  </si>
  <si>
    <t>VALOR</t>
  </si>
  <si>
    <t>Valor total de cada Mês</t>
  </si>
  <si>
    <t>com prazer OSWALDO LUCAS.</t>
  </si>
  <si>
    <t>Uma dica, essa planilha foi com ajuda da IA, para criar os dados nas linhas e colunas, eu fiz todo o análise com formúlas, Dashboard, Formataçoes e muito mais.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</si>
</sst>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8" formatCode="_-[$R$-416]\ * #,##0.00_-;\-[$R$-416]\ * #,##0.00_-;_-[$R$-416]\ * &quot;-&quot;??_-;_-@_-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36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1"/>
      <color theme="9"/>
      <name val="Calibri"/>
      <family val="2"/>
      <scheme val="minor"/>
    </font>
    <font>
      <b/>
      <sz val="36"/>
      <color theme="0"/>
      <name val="Calibri"/>
      <family val="2"/>
      <scheme val="minor"/>
    </font>
    <font>
      <b/>
      <sz val="11"/>
      <color theme="2" tint="-0.89999084444715716"/>
      <name val="Calibri"/>
      <family val="2"/>
      <scheme val="minor"/>
    </font>
    <font>
      <sz val="14"/>
      <color theme="2" tint="-0.89999084444715716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theme="7" tint="0.59999389629810485"/>
      </patternFill>
    </fill>
    <fill>
      <patternFill patternType="solid">
        <fgColor theme="0"/>
        <bgColor theme="7" tint="0.79998168889431442"/>
      </patternFill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9">
    <xf numFmtId="0" fontId="0" fillId="0" borderId="0" xfId="0"/>
    <xf numFmtId="0" fontId="0" fillId="3" borderId="0" xfId="0" applyFill="1"/>
    <xf numFmtId="0" fontId="0" fillId="0" borderId="1" xfId="0" applyBorder="1"/>
    <xf numFmtId="14" fontId="0" fillId="0" borderId="1" xfId="0" applyNumberFormat="1" applyBorder="1"/>
    <xf numFmtId="44" fontId="0" fillId="0" borderId="1" xfId="1" applyFont="1" applyBorder="1"/>
    <xf numFmtId="44" fontId="0" fillId="0" borderId="0" xfId="0" applyNumberFormat="1"/>
    <xf numFmtId="168" fontId="0" fillId="0" borderId="1" xfId="0" applyNumberForma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14" fontId="0" fillId="0" borderId="8" xfId="0" applyNumberFormat="1" applyBorder="1"/>
    <xf numFmtId="0" fontId="0" fillId="0" borderId="8" xfId="0" applyBorder="1"/>
    <xf numFmtId="44" fontId="0" fillId="0" borderId="8" xfId="1" applyFont="1" applyBorder="1"/>
    <xf numFmtId="168" fontId="0" fillId="0" borderId="8" xfId="0" applyNumberFormat="1" applyBorder="1"/>
    <xf numFmtId="0" fontId="0" fillId="0" borderId="9" xfId="0" applyBorder="1"/>
    <xf numFmtId="0" fontId="8" fillId="2" borderId="0" xfId="0" applyFont="1" applyFill="1"/>
    <xf numFmtId="0" fontId="9" fillId="0" borderId="4" xfId="0" applyFont="1" applyBorder="1"/>
    <xf numFmtId="0" fontId="9" fillId="0" borderId="5" xfId="0" applyFont="1" applyBorder="1" applyAlignment="1">
      <alignment vertical="center" wrapText="1"/>
    </xf>
    <xf numFmtId="0" fontId="9" fillId="0" borderId="5" xfId="0" applyFont="1" applyBorder="1"/>
    <xf numFmtId="0" fontId="9" fillId="0" borderId="6" xfId="0" applyFont="1" applyBorder="1"/>
    <xf numFmtId="0" fontId="0" fillId="5" borderId="0" xfId="0" applyFill="1"/>
    <xf numFmtId="168" fontId="0" fillId="5" borderId="0" xfId="0" applyNumberFormat="1" applyFill="1"/>
    <xf numFmtId="168" fontId="0" fillId="0" borderId="0" xfId="0" applyNumberFormat="1"/>
    <xf numFmtId="0" fontId="0" fillId="0" borderId="1" xfId="0" applyBorder="1" applyAlignment="1">
      <alignment vertical="center" wrapText="1"/>
    </xf>
    <xf numFmtId="168" fontId="0" fillId="0" borderId="1" xfId="0" applyNumberFormat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168" fontId="0" fillId="0" borderId="5" xfId="0" applyNumberFormat="1" applyBorder="1"/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168" fontId="0" fillId="0" borderId="8" xfId="0" applyNumberFormat="1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5" borderId="0" xfId="0" applyFill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0" fillId="2" borderId="0" xfId="0" applyFont="1" applyFill="1"/>
    <xf numFmtId="0" fontId="10" fillId="4" borderId="0" xfId="0" applyFont="1" applyFill="1"/>
    <xf numFmtId="168" fontId="10" fillId="4" borderId="0" xfId="0" applyNumberFormat="1" applyFont="1" applyFill="1"/>
    <xf numFmtId="0" fontId="10" fillId="4" borderId="0" xfId="0" applyFont="1" applyFill="1" applyAlignment="1">
      <alignment horizontal="center" vertical="center"/>
    </xf>
    <xf numFmtId="0" fontId="0" fillId="6" borderId="1" xfId="0" applyFont="1" applyFill="1" applyBorder="1"/>
    <xf numFmtId="0" fontId="0" fillId="7" borderId="1" xfId="0" applyFont="1" applyFill="1" applyBorder="1"/>
    <xf numFmtId="0" fontId="0" fillId="0" borderId="0" xfId="0" applyAlignment="1">
      <alignment horizontal="left" indent="1"/>
    </xf>
    <xf numFmtId="0" fontId="0" fillId="0" borderId="1" xfId="0" applyBorder="1" applyAlignment="1">
      <alignment horizontal="center"/>
    </xf>
    <xf numFmtId="0" fontId="5" fillId="0" borderId="1" xfId="0" applyFont="1" applyBorder="1"/>
    <xf numFmtId="0" fontId="5" fillId="0" borderId="1" xfId="1" applyNumberFormat="1" applyFont="1" applyBorder="1"/>
    <xf numFmtId="0" fontId="5" fillId="0" borderId="1" xfId="0" applyNumberFormat="1" applyFont="1" applyBorder="1"/>
    <xf numFmtId="0" fontId="5" fillId="0" borderId="1" xfId="0" applyFont="1" applyFill="1" applyBorder="1"/>
    <xf numFmtId="44" fontId="3" fillId="0" borderId="1" xfId="1" applyFont="1" applyBorder="1"/>
    <xf numFmtId="0" fontId="11" fillId="0" borderId="1" xfId="1" applyNumberFormat="1" applyFont="1" applyBorder="1"/>
    <xf numFmtId="44" fontId="12" fillId="0" borderId="1" xfId="1" applyFont="1" applyBorder="1"/>
    <xf numFmtId="0" fontId="13" fillId="8" borderId="0" xfId="0" applyFont="1" applyFill="1"/>
    <xf numFmtId="0" fontId="2" fillId="8" borderId="0" xfId="0" applyFont="1" applyFill="1"/>
    <xf numFmtId="0" fontId="0" fillId="9" borderId="0" xfId="0" applyFill="1"/>
    <xf numFmtId="0" fontId="4" fillId="11" borderId="1" xfId="0" applyFont="1" applyFill="1" applyBorder="1"/>
    <xf numFmtId="0" fontId="14" fillId="10" borderId="1" xfId="0" applyFont="1" applyFill="1" applyBorder="1"/>
    <xf numFmtId="0" fontId="6" fillId="12" borderId="1" xfId="0" applyFont="1" applyFill="1" applyBorder="1" applyAlignment="1">
      <alignment horizontal="center"/>
    </xf>
    <xf numFmtId="0" fontId="6" fillId="13" borderId="1" xfId="0" applyFont="1" applyFill="1" applyBorder="1" applyAlignment="1">
      <alignment horizontal="center"/>
    </xf>
    <xf numFmtId="0" fontId="6" fillId="14" borderId="3" xfId="0" applyFont="1" applyFill="1" applyBorder="1" applyAlignment="1">
      <alignment horizontal="center"/>
    </xf>
    <xf numFmtId="0" fontId="6" fillId="14" borderId="2" xfId="0" applyFont="1" applyFill="1" applyBorder="1" applyAlignment="1">
      <alignment horizontal="center"/>
    </xf>
    <xf numFmtId="0" fontId="6" fillId="15" borderId="1" xfId="0" applyFont="1" applyFill="1" applyBorder="1" applyAlignment="1">
      <alignment horizontal="center"/>
    </xf>
    <xf numFmtId="0" fontId="6" fillId="16" borderId="1" xfId="0" applyFont="1" applyFill="1" applyBorder="1" applyAlignment="1">
      <alignment horizontal="center"/>
    </xf>
    <xf numFmtId="0" fontId="15" fillId="17" borderId="1" xfId="0" applyFont="1" applyFill="1" applyBorder="1" applyAlignment="1">
      <alignment horizontal="center"/>
    </xf>
    <xf numFmtId="0" fontId="6" fillId="9" borderId="0" xfId="0" applyFont="1" applyFill="1" applyBorder="1" applyAlignment="1">
      <alignment horizontal="center"/>
    </xf>
    <xf numFmtId="0" fontId="7" fillId="9" borderId="0" xfId="0" applyFont="1" applyFill="1" applyBorder="1" applyAlignment="1">
      <alignment horizontal="left"/>
    </xf>
  </cellXfs>
  <cellStyles count="2">
    <cellStyle name="Moeda" xfId="1" builtinId="4"/>
    <cellStyle name="Normal" xfId="0" builtinId="0"/>
  </cellStyles>
  <dxfs count="29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8" formatCode="_-[$R$-416]\ * #,##0.00_-;\-[$R$-416]\ * #,##0.00_-;_-[$R$-416]\ 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8" formatCode="_-[$R$-416]\ * #,##0.00_-;\-[$R$-416]\ * #,##0.00_-;_-[$R$-416]\ * &quot;-&quot;??_-;_-@_-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Total de Entradas e Saídas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spPr>
            <a:solidFill>
              <a:schemeClr val="accent6"/>
            </a:solidFill>
          </c:spPr>
          <c:dPt>
            <c:idx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2-C376-4771-BBF2-765D086B66D8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376-4771-BBF2-765D086B66D8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in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9411090398152528"/>
                      <c:h val="0.22664370078740156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C376-4771-BBF2-765D086B66D8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in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732608070634279"/>
                      <c:h val="0.14800925925925923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C376-4771-BBF2-765D086B66D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Dashboard_Estoque!$A$3:$B$4</c15:sqref>
                  </c15:fullRef>
                  <c15:levelRef>
                    <c15:sqref>Dashboard_Estoque!$A$4:$B$4</c15:sqref>
                  </c15:levelRef>
                </c:ext>
              </c:extLst>
              <c:f>Dashboard_Estoque!$A$4:$B$4</c:f>
              <c:strCache>
                <c:ptCount val="2"/>
                <c:pt idx="0">
                  <c:v>ENTRADAS</c:v>
                </c:pt>
                <c:pt idx="1">
                  <c:v>SAÍDAS</c:v>
                </c:pt>
              </c:strCache>
            </c:strRef>
          </c:cat>
          <c:val>
            <c:numRef>
              <c:f>Dashboard_Estoque!$A$5:$B$5</c:f>
              <c:numCache>
                <c:formatCode>General</c:formatCode>
                <c:ptCount val="2"/>
                <c:pt idx="0">
                  <c:v>25</c:v>
                </c:pt>
                <c:pt idx="1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76-4771-BBF2-765D086B66D8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US" sz="1400" b="1" baseline="0"/>
              <a:t>Quantidade de Estoque ( Categoria ) QUANTIDADES</a:t>
            </a:r>
          </a:p>
        </c:rich>
      </c:tx>
      <c:layout>
        <c:manualLayout>
          <c:xMode val="edge"/>
          <c:yMode val="edge"/>
          <c:x val="0.16436786109446994"/>
          <c:y val="3.95387081531376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Dashboard_Estoque!$E$3:$E$4</c:f>
              <c:strCache>
                <c:ptCount val="2"/>
                <c:pt idx="0">
                  <c:v>Quantidade de Estoque ( Categoria )</c:v>
                </c:pt>
                <c:pt idx="1">
                  <c:v>QUANTIDADES</c:v>
                </c:pt>
              </c:strCache>
            </c:strRef>
          </c:tx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628C-4DAA-ADB2-3F9C76A6C80A}"/>
              </c:ext>
            </c:extLst>
          </c:dPt>
          <c:dPt>
            <c:idx val="1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628C-4DAA-ADB2-3F9C76A6C80A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20000"/>
                  <a:lumOff val="80000"/>
                </a:schemeClr>
              </a:soli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28C-4DAA-ADB2-3F9C76A6C80A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628C-4DAA-ADB2-3F9C76A6C80A}"/>
              </c:ext>
            </c:extLst>
          </c:dPt>
          <c:dLbls>
            <c:dLbl>
              <c:idx val="0"/>
              <c:layout>
                <c:manualLayout>
                  <c:x val="3.4057040984833086E-3"/>
                  <c:y val="0.2315430681345686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1627073792222016"/>
                      <c:h val="0.2469194053765724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628C-4DAA-ADB2-3F9C76A6C80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Dashboard_Estoque!$D$5:$D$8</c:f>
              <c:strCache>
                <c:ptCount val="4"/>
                <c:pt idx="0">
                  <c:v>Escritório</c:v>
                </c:pt>
                <c:pt idx="1">
                  <c:v>Limpeza</c:v>
                </c:pt>
                <c:pt idx="2">
                  <c:v>Embalagem</c:v>
                </c:pt>
                <c:pt idx="3">
                  <c:v>Informática</c:v>
                </c:pt>
              </c:strCache>
            </c:strRef>
          </c:cat>
          <c:val>
            <c:numRef>
              <c:f>Dashboard_Estoque!$E$5:$E$8</c:f>
              <c:numCache>
                <c:formatCode>General</c:formatCode>
                <c:ptCount val="4"/>
                <c:pt idx="0">
                  <c:v>20</c:v>
                </c:pt>
                <c:pt idx="1">
                  <c:v>9</c:v>
                </c:pt>
                <c:pt idx="2">
                  <c:v>9</c:v>
                </c:pt>
                <c:pt idx="3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8C-4DAA-ADB2-3F9C76A6C80A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160555551"/>
        <c:axId val="160550751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Dashboard_Estoque!$F$3:$F$4</c15:sqref>
                        </c15:formulaRef>
                      </c:ext>
                    </c:extLst>
                    <c:strCache>
                      <c:ptCount val="2"/>
                      <c:pt idx="0">
                        <c:v>Quantidade de Estoque ( Categoria )</c:v>
                      </c:pt>
                      <c:pt idx="1">
                        <c:v>QUANTIDADES</c:v>
                      </c:pt>
                    </c:strCache>
                  </c:strRef>
                </c:tx>
                <c:spPr>
                  <a:gradFill>
                    <a:gsLst>
                      <a:gs pos="0">
                        <a:schemeClr val="accent2"/>
                      </a:gs>
                      <a:gs pos="100000">
                        <a:schemeClr val="accent2">
                          <a:lumMod val="84000"/>
                        </a:schemeClr>
                      </a:gs>
                    </a:gsLst>
                    <a:lin ang="5400000" scaled="1"/>
                  </a:gradFill>
                  <a:ln>
                    <a:noFill/>
                  </a:ln>
                  <a:effectLst>
                    <a:outerShdw blurRad="76200" dir="18900000" sy="23000" kx="-1200000" algn="bl" rotWithShape="0">
                      <a:prstClr val="black">
                        <a:alpha val="20000"/>
                      </a:prst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Dashboard_Estoque!$D$5:$D$8</c15:sqref>
                        </c15:formulaRef>
                      </c:ext>
                    </c:extLst>
                    <c:strCache>
                      <c:ptCount val="4"/>
                      <c:pt idx="0">
                        <c:v>Escritório</c:v>
                      </c:pt>
                      <c:pt idx="1">
                        <c:v>Limpeza</c:v>
                      </c:pt>
                      <c:pt idx="2">
                        <c:v>Embalagem</c:v>
                      </c:pt>
                      <c:pt idx="3">
                        <c:v>Informática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Dashboard_Estoque!$F$5:$F$8</c15:sqref>
                        </c15:formulaRef>
                      </c:ext>
                    </c:extLst>
                    <c:numCache>
                      <c:formatCode>General</c:formatCode>
                      <c:ptCount val="4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628C-4DAA-ADB2-3F9C76A6C80A}"/>
                  </c:ext>
                </c:extLst>
              </c15:ser>
            </c15:filteredBarSeries>
          </c:ext>
        </c:extLst>
      </c:barChart>
      <c:catAx>
        <c:axId val="1605555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0550751"/>
        <c:crosses val="autoZero"/>
        <c:auto val="1"/>
        <c:lblAlgn val="ctr"/>
        <c:lblOffset val="100"/>
        <c:noMultiLvlLbl val="0"/>
      </c:catAx>
      <c:valAx>
        <c:axId val="160550751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605555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Dashboard_Estoque!$I$3</c:f>
              <c:strCache>
                <c:ptCount val="1"/>
              </c:strCache>
            </c:strRef>
          </c:tx>
          <c:dPt>
            <c:idx val="0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501-4B28-8CA5-7E554567D0D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6501-4B28-8CA5-7E554567D0D1}"/>
              </c:ext>
            </c:extLst>
          </c:dPt>
          <c:dPt>
            <c:idx val="2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501-4B28-8CA5-7E554567D0D1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Dashboard_Estoque!$H$4:$H$6</c:f>
              <c:strCache>
                <c:ptCount val="3"/>
                <c:pt idx="0">
                  <c:v>ENTRADAS</c:v>
                </c:pt>
                <c:pt idx="1">
                  <c:v>SAÍDAS</c:v>
                </c:pt>
                <c:pt idx="2">
                  <c:v>TOTAL</c:v>
                </c:pt>
              </c:strCache>
            </c:strRef>
          </c:cat>
          <c:val>
            <c:numRef>
              <c:f>Dashboard_Estoque!$I$4:$I$6</c:f>
              <c:numCache>
                <c:formatCode>General</c:formatCode>
                <c:ptCount val="3"/>
                <c:pt idx="0">
                  <c:v>1993</c:v>
                </c:pt>
                <c:pt idx="1">
                  <c:v>398</c:v>
                </c:pt>
                <c:pt idx="2">
                  <c:v>1595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01-4B28-8CA5-7E554567D0D1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Dashboard_Estoque!$B$9</c:f>
              <c:strCache>
                <c:ptCount val="1"/>
              </c:strCache>
            </c:strRef>
          </c:tx>
          <c:spPr>
            <a:solidFill>
              <a:schemeClr val="accent6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93BE-402A-980C-7F17B2C21EF4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3BE-402A-980C-7F17B2C21EF4}"/>
              </c:ext>
            </c:extLst>
          </c:dPt>
          <c:cat>
            <c:strRef>
              <c:f>Dashboard_Estoque!$A$10:$A$12</c:f>
              <c:strCache>
                <c:ptCount val="3"/>
                <c:pt idx="0">
                  <c:v>ENTRADAS</c:v>
                </c:pt>
                <c:pt idx="1">
                  <c:v>SAÍDAS</c:v>
                </c:pt>
                <c:pt idx="2">
                  <c:v>TOTAL GERAL</c:v>
                </c:pt>
              </c:strCache>
            </c:strRef>
          </c:cat>
          <c:val>
            <c:numRef>
              <c:f>Dashboard_Estoque!$B$10:$B$12</c:f>
              <c:numCache>
                <c:formatCode>_("R$"* #,##0.00_);_("R$"* \(#,##0.00\);_("R$"* "-"??_);_(@_)</c:formatCode>
                <c:ptCount val="3"/>
                <c:pt idx="0" formatCode="_-[$R$-416]\ * #,##0.00_-;\-[$R$-416]\ * #,##0.00_-;_-[$R$-416]\ * &quot;-&quot;??_-;_-@_-">
                  <c:v>144668.5</c:v>
                </c:pt>
                <c:pt idx="1">
                  <c:v>9773.7000000000007</c:v>
                </c:pt>
                <c:pt idx="2">
                  <c:v>154442.19999999998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BE-402A-980C-7F17B2C21E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60598751"/>
        <c:axId val="160584351"/>
      </c:barChart>
      <c:catAx>
        <c:axId val="1605987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0584351"/>
        <c:crosses val="autoZero"/>
        <c:auto val="1"/>
        <c:lblAlgn val="ctr"/>
        <c:lblOffset val="100"/>
        <c:noMultiLvlLbl val="0"/>
      </c:catAx>
      <c:valAx>
        <c:axId val="160584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R$-416]\ * #,##0.00_-;\-[$R$-416]\ * #,##0.00_-;_-[$R$-416]\ 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05987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pt-BR" b="1"/>
              <a:t>Valor total de cada Mês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solidFill>
          <a:schemeClr val="bg2">
            <a:lumMod val="75000"/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Dashboard_Estoque!$D$11</c:f>
              <c:strCache>
                <c:ptCount val="1"/>
                <c:pt idx="0">
                  <c:v>JANEIRO</c:v>
                </c:pt>
              </c:strCache>
            </c:strRef>
          </c:tx>
          <c:spPr>
            <a:solidFill>
              <a:schemeClr val="accent1">
                <a:alpha val="88000"/>
              </a:schemeClr>
            </a:solidFill>
            <a:ln>
              <a:solidFill>
                <a:schemeClr val="accent1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1">
                  <a:lumMod val="50000"/>
                </a:schemeClr>
              </a:contourClr>
            </a:sp3d>
          </c:spPr>
          <c:invertIfNegative val="0"/>
          <c:dLbls>
            <c:dLbl>
              <c:idx val="0"/>
              <c:layout>
                <c:manualLayout>
                  <c:x val="-3.4013605442176874E-2"/>
                  <c:y val="7.195052126948746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239-4A9D-A547-E51C2EC720CD}"/>
                </c:ext>
              </c:extLst>
            </c:dLbl>
            <c:spPr>
              <a:solidFill>
                <a:schemeClr val="accent1">
                  <a:alpha val="30000"/>
                </a:schemeClr>
              </a:solidFill>
              <a:ln>
                <a:solidFill>
                  <a:schemeClr val="lt1">
                    <a:alpha val="50000"/>
                  </a:scheme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Dashboard_Estoque!$E$9:$F$10</c:f>
              <c:strCache>
                <c:ptCount val="2"/>
                <c:pt idx="0">
                  <c:v>ENTRADA</c:v>
                </c:pt>
                <c:pt idx="1">
                  <c:v>SAÍDA</c:v>
                </c:pt>
              </c:strCache>
            </c:strRef>
          </c:cat>
          <c:val>
            <c:numRef>
              <c:f>Dashboard_Estoque!$E$11:$F$11</c:f>
              <c:numCache>
                <c:formatCode>_("R$"* #,##0.00_);_("R$"* \(#,##0.00\);_("R$"* "-"??_);_(@_)</c:formatCode>
                <c:ptCount val="2"/>
                <c:pt idx="0">
                  <c:v>70157</c:v>
                </c:pt>
                <c:pt idx="1">
                  <c:v>5251.4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39-4A9D-A547-E51C2EC720CD}"/>
            </c:ext>
          </c:extLst>
        </c:ser>
        <c:ser>
          <c:idx val="1"/>
          <c:order val="1"/>
          <c:tx>
            <c:strRef>
              <c:f>Dashboard_Estoque!$D$12</c:f>
              <c:strCache>
                <c:ptCount val="1"/>
                <c:pt idx="0">
                  <c:v>FEVEREIRO</c:v>
                </c:pt>
              </c:strCache>
            </c:strRef>
          </c:tx>
          <c:spPr>
            <a:solidFill>
              <a:schemeClr val="accent2">
                <a:alpha val="88000"/>
              </a:schemeClr>
            </a:solidFill>
            <a:ln>
              <a:solidFill>
                <a:schemeClr val="accent2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2">
                  <a:lumMod val="50000"/>
                </a:schemeClr>
              </a:contourClr>
            </a:sp3d>
          </c:spPr>
          <c:invertIfNegative val="0"/>
          <c:dLbls>
            <c:dLbl>
              <c:idx val="0"/>
              <c:layout>
                <c:manualLayout>
                  <c:x val="-1.3605442176870748E-2"/>
                  <c:y val="-0.1259134122216033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239-4A9D-A547-E51C2EC720CD}"/>
                </c:ext>
              </c:extLst>
            </c:dLbl>
            <c:spPr>
              <a:solidFill>
                <a:schemeClr val="accent2">
                  <a:alpha val="30000"/>
                </a:schemeClr>
              </a:solidFill>
              <a:ln>
                <a:solidFill>
                  <a:schemeClr val="lt1">
                    <a:alpha val="50000"/>
                  </a:scheme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Dashboard_Estoque!$E$9:$F$10</c:f>
              <c:strCache>
                <c:ptCount val="2"/>
                <c:pt idx="0">
                  <c:v>ENTRADA</c:v>
                </c:pt>
                <c:pt idx="1">
                  <c:v>SAÍDA</c:v>
                </c:pt>
              </c:strCache>
            </c:strRef>
          </c:cat>
          <c:val>
            <c:numRef>
              <c:f>Dashboard_Estoque!$E$12:$F$12</c:f>
              <c:numCache>
                <c:formatCode>_("R$"* #,##0.00_);_("R$"* \(#,##0.00\);_("R$"* "-"??_);_(@_)</c:formatCode>
                <c:ptCount val="2"/>
                <c:pt idx="0">
                  <c:v>74511.5</c:v>
                </c:pt>
                <c:pt idx="1">
                  <c:v>4522.3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239-4A9D-A547-E51C2EC720C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84"/>
        <c:gapDepth val="53"/>
        <c:shape val="box"/>
        <c:axId val="160579551"/>
        <c:axId val="160599231"/>
        <c:axId val="0"/>
      </c:bar3DChart>
      <c:catAx>
        <c:axId val="1605795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0599231"/>
        <c:crosses val="autoZero"/>
        <c:auto val="1"/>
        <c:lblAlgn val="ctr"/>
        <c:lblOffset val="100"/>
        <c:noMultiLvlLbl val="0"/>
      </c:catAx>
      <c:valAx>
        <c:axId val="160599231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1605795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6350" cap="flat" cmpd="sng" algn="ctr">
      <a:solidFill>
        <a:schemeClr val="dk1">
          <a:tint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Valor Maior e Menor de Produtos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Dashboard_Estoque!$H$11</c:f>
              <c:strCache>
                <c:ptCount val="1"/>
                <c:pt idx="0">
                  <c:v>Cabo USB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Dashboard_Estoque!$I$9:$I$10</c:f>
              <c:strCache>
                <c:ptCount val="2"/>
                <c:pt idx="1">
                  <c:v>VALOR</c:v>
                </c:pt>
              </c:strCache>
            </c:strRef>
          </c:cat>
          <c:val>
            <c:numRef>
              <c:f>Dashboard_Estoque!$I$11</c:f>
              <c:numCache>
                <c:formatCode>_("R$"* #,##0.00_);_("R$"* \(#,##0.00\);_("R$"* "-"??_);_(@_)</c:formatCode>
                <c:ptCount val="1"/>
                <c:pt idx="0">
                  <c:v>28000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61-481A-892D-F9E57AF781E4}"/>
            </c:ext>
          </c:extLst>
        </c:ser>
        <c:ser>
          <c:idx val="1"/>
          <c:order val="1"/>
          <c:tx>
            <c:strRef>
              <c:f>Dashboard_Estoque!$H$12</c:f>
              <c:strCache>
                <c:ptCount val="1"/>
                <c:pt idx="0">
                  <c:v>Lixeira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Dashboard_Estoque!$I$9:$I$10</c:f>
              <c:strCache>
                <c:ptCount val="2"/>
                <c:pt idx="1">
                  <c:v>VALOR</c:v>
                </c:pt>
              </c:strCache>
            </c:strRef>
          </c:cat>
          <c:val>
            <c:numRef>
              <c:f>Dashboard_Estoque!$I$12</c:f>
              <c:numCache>
                <c:formatCode>_("R$"* #,##0.00_);_("R$"* \(#,##0.00\);_("R$"* "-"??_);_(@_)</c:formatCode>
                <c:ptCount val="1"/>
                <c:pt idx="0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B61-481A-892D-F9E57AF781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60570431"/>
        <c:axId val="160585791"/>
      </c:barChart>
      <c:catAx>
        <c:axId val="160570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0585791"/>
        <c:crosses val="autoZero"/>
        <c:auto val="1"/>
        <c:lblAlgn val="ctr"/>
        <c:lblOffset val="100"/>
        <c:noMultiLvlLbl val="0"/>
      </c:catAx>
      <c:valAx>
        <c:axId val="160585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05704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91">
  <cs:axisTitle>
    <cs:lnRef idx="0"/>
    <cs:fillRef idx="0"/>
    <cs:effectRef idx="0"/>
    <cs:fontRef idx="minor">
      <a:schemeClr val="lt1">
        <a:lumMod val="7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6350" cap="flat" cmpd="sng" algn="ctr">
        <a:solidFill>
          <a:schemeClr val="dk1">
            <a:tint val="75000"/>
          </a:schemeClr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</cs:dataLabel>
  <cs:dataLabelCallout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  <a:scene3d>
        <a:camera prst="orthographicFront"/>
        <a:lightRig rig="threePt" dir="t"/>
      </a:scene3d>
      <a:sp3d prstMaterial="flat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dk1">
            <a:lumMod val="75000"/>
            <a:lumOff val="2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bg2">
          <a:lumMod val="75000"/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>
        <a:solidFill>
          <a:schemeClr val="lt1">
            <a:lumMod val="50000"/>
          </a:schemeClr>
        </a:solidFill>
      </a:ln>
    </cs:spPr>
  </cs:gridlineMajor>
  <cs:gridlineMinor>
    <cs:lnRef idx="0"/>
    <cs:fillRef idx="0"/>
    <cs:effectRef idx="0"/>
    <cs:fontRef idx="minor">
      <a:schemeClr val="tx1"/>
    </cs:fontRef>
    <cs:spPr>
      <a:ln w="9525">
        <a:solidFill>
          <a:schemeClr val="lt1">
            <a:lumMod val="4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800" b="0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13</xdr:row>
      <xdr:rowOff>4762</xdr:rowOff>
    </xdr:from>
    <xdr:to>
      <xdr:col>2</xdr:col>
      <xdr:colOff>9525</xdr:colOff>
      <xdr:row>27</xdr:row>
      <xdr:rowOff>171450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27B1A7E-AA9D-28FA-94E0-22A7142500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185737</xdr:colOff>
      <xdr:row>12</xdr:row>
      <xdr:rowOff>176212</xdr:rowOff>
    </xdr:from>
    <xdr:to>
      <xdr:col>6</xdr:col>
      <xdr:colOff>0</xdr:colOff>
      <xdr:row>28</xdr:row>
      <xdr:rowOff>19050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11381976-55BB-241F-8883-2F3364ECAF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133350</xdr:colOff>
      <xdr:row>12</xdr:row>
      <xdr:rowOff>176212</xdr:rowOff>
    </xdr:from>
    <xdr:to>
      <xdr:col>8</xdr:col>
      <xdr:colOff>1019175</xdr:colOff>
      <xdr:row>28</xdr:row>
      <xdr:rowOff>19050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10E4AC6A-8B25-7169-D4D6-C642805DBC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oneCellAnchor>
    <xdr:from>
      <xdr:col>7</xdr:col>
      <xdr:colOff>809625</xdr:colOff>
      <xdr:row>14</xdr:row>
      <xdr:rowOff>95250</xdr:rowOff>
    </xdr:from>
    <xdr:ext cx="184731" cy="264560"/>
    <xdr:sp macro="" textlink="">
      <xdr:nvSpPr>
        <xdr:cNvPr id="6" name="CaixaDeTexto 5">
          <a:extLst>
            <a:ext uri="{FF2B5EF4-FFF2-40B4-BE49-F238E27FC236}">
              <a16:creationId xmlns:a16="http://schemas.microsoft.com/office/drawing/2014/main" id="{D7311039-4FB5-166F-60CF-F9C350E4CF1B}"/>
            </a:ext>
          </a:extLst>
        </xdr:cNvPr>
        <xdr:cNvSpPr txBox="1"/>
      </xdr:nvSpPr>
      <xdr:spPr>
        <a:xfrm>
          <a:off x="7572375" y="3219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twoCellAnchor>
    <xdr:from>
      <xdr:col>0</xdr:col>
      <xdr:colOff>0</xdr:colOff>
      <xdr:row>28</xdr:row>
      <xdr:rowOff>185737</xdr:rowOff>
    </xdr:from>
    <xdr:to>
      <xdr:col>1</xdr:col>
      <xdr:colOff>1266825</xdr:colOff>
      <xdr:row>43</xdr:row>
      <xdr:rowOff>71437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F56A61CA-13F9-C633-DA4F-4496828227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0</xdr:colOff>
      <xdr:row>29</xdr:row>
      <xdr:rowOff>23811</xdr:rowOff>
    </xdr:from>
    <xdr:to>
      <xdr:col>6</xdr:col>
      <xdr:colOff>9525</xdr:colOff>
      <xdr:row>43</xdr:row>
      <xdr:rowOff>180974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EFDDB862-173F-3C78-DA9F-4206655910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4762</xdr:colOff>
      <xdr:row>28</xdr:row>
      <xdr:rowOff>185736</xdr:rowOff>
    </xdr:from>
    <xdr:to>
      <xdr:col>9</xdr:col>
      <xdr:colOff>0</xdr:colOff>
      <xdr:row>43</xdr:row>
      <xdr:rowOff>171449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D76DED41-510E-B8A7-9A6A-F9E5F2B362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0.29032</cdr:x>
      <cdr:y>0.09549</cdr:y>
    </cdr:from>
    <cdr:to>
      <cdr:x>0.6</cdr:x>
      <cdr:y>0.42882</cdr:y>
    </cdr:to>
    <cdr:sp macro="" textlink="">
      <cdr:nvSpPr>
        <cdr:cNvPr id="2" name="CaixaDeTexto 1">
          <a:extLst xmlns:a="http://schemas.openxmlformats.org/drawingml/2006/main">
            <a:ext uri="{FF2B5EF4-FFF2-40B4-BE49-F238E27FC236}">
              <a16:creationId xmlns:a16="http://schemas.microsoft.com/office/drawing/2014/main" id="{A61FDF7D-1FE5-4B73-0E33-93A5DB225BC6}"/>
            </a:ext>
          </a:extLst>
        </cdr:cNvPr>
        <cdr:cNvSpPr txBox="1"/>
      </cdr:nvSpPr>
      <cdr:spPr>
        <a:xfrm xmlns:a="http://schemas.openxmlformats.org/drawingml/2006/main">
          <a:off x="857250" y="261938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pt-BR" sz="1100" kern="1200"/>
        </a:p>
      </cdr:txBody>
    </cdr:sp>
  </cdr:relSizeAnchor>
  <cdr:relSizeAnchor xmlns:cdr="http://schemas.openxmlformats.org/drawingml/2006/chartDrawing">
    <cdr:from>
      <cdr:x>0.06452</cdr:x>
      <cdr:y>0.03993</cdr:y>
    </cdr:from>
    <cdr:to>
      <cdr:x>0.37419</cdr:x>
      <cdr:y>0.37326</cdr:y>
    </cdr:to>
    <cdr:sp macro="" textlink="">
      <cdr:nvSpPr>
        <cdr:cNvPr id="3" name="CaixaDeTexto 2">
          <a:extLst xmlns:a="http://schemas.openxmlformats.org/drawingml/2006/main">
            <a:ext uri="{FF2B5EF4-FFF2-40B4-BE49-F238E27FC236}">
              <a16:creationId xmlns:a16="http://schemas.microsoft.com/office/drawing/2014/main" id="{3FAFD2C6-96C1-7055-2753-1E94C8AB223F}"/>
            </a:ext>
          </a:extLst>
        </cdr:cNvPr>
        <cdr:cNvSpPr txBox="1"/>
      </cdr:nvSpPr>
      <cdr:spPr>
        <a:xfrm xmlns:a="http://schemas.openxmlformats.org/drawingml/2006/main">
          <a:off x="190500" y="109538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pt-BR" sz="1400" b="1" kern="1200"/>
            <a:t>Saldo em Estoque (Quantidade)</a:t>
          </a: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0.32918</cdr:x>
      <cdr:y>0.33333</cdr:y>
    </cdr:from>
    <cdr:to>
      <cdr:x>0.67082</cdr:x>
      <cdr:y>0.66667</cdr:y>
    </cdr:to>
    <cdr:sp macro="" textlink="">
      <cdr:nvSpPr>
        <cdr:cNvPr id="2" name="CaixaDeTexto 1">
          <a:extLst xmlns:a="http://schemas.openxmlformats.org/drawingml/2006/main">
            <a:ext uri="{FF2B5EF4-FFF2-40B4-BE49-F238E27FC236}">
              <a16:creationId xmlns:a16="http://schemas.microsoft.com/office/drawing/2014/main" id="{68AF48E4-8CCA-9BFC-815A-4F57AD252780}"/>
            </a:ext>
          </a:extLst>
        </cdr:cNvPr>
        <cdr:cNvSpPr txBox="1"/>
      </cdr:nvSpPr>
      <cdr:spPr>
        <a:xfrm xmlns:a="http://schemas.openxmlformats.org/drawingml/2006/main">
          <a:off x="881062" y="914400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pt-BR" sz="1100" kern="1200"/>
        </a:p>
      </cdr:txBody>
    </cdr:sp>
  </cdr:relSizeAnchor>
  <cdr:relSizeAnchor xmlns:cdr="http://schemas.openxmlformats.org/drawingml/2006/chartDrawing">
    <cdr:from>
      <cdr:x>0.13167</cdr:x>
      <cdr:y>0.01215</cdr:y>
    </cdr:from>
    <cdr:to>
      <cdr:x>0.47331</cdr:x>
      <cdr:y>0.34549</cdr:y>
    </cdr:to>
    <cdr:sp macro="" textlink="">
      <cdr:nvSpPr>
        <cdr:cNvPr id="3" name="CaixaDeTexto 2">
          <a:extLst xmlns:a="http://schemas.openxmlformats.org/drawingml/2006/main">
            <a:ext uri="{FF2B5EF4-FFF2-40B4-BE49-F238E27FC236}">
              <a16:creationId xmlns:a16="http://schemas.microsoft.com/office/drawing/2014/main" id="{A8CDF388-D5BA-D9EC-E1F0-7CDC8AAD9D0A}"/>
            </a:ext>
          </a:extLst>
        </cdr:cNvPr>
        <cdr:cNvSpPr txBox="1"/>
      </cdr:nvSpPr>
      <cdr:spPr>
        <a:xfrm xmlns:a="http://schemas.openxmlformats.org/drawingml/2006/main">
          <a:off x="352425" y="33338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pt-BR" sz="1600" b="1" kern="1200"/>
            <a:t>Valor Total Movimentado</a:t>
          </a:r>
        </a:p>
      </cdr:txBody>
    </cdr:sp>
  </cdr:relSizeAnchor>
</c:userShap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5C667AE-CDA1-4BBC-8B77-6B21C521517E}" name="Tabela1" displayName="Tabela1" ref="A3:J53" totalsRowShown="0" headerRowDxfId="12" headerRowBorderDxfId="10" tableBorderDxfId="11">
  <autoFilter ref="A3:J53" xr:uid="{D5C667AE-CDA1-4BBC-8B77-6B21C521517E}"/>
  <tableColumns count="10">
    <tableColumn id="1" xr3:uid="{A01245AB-F14C-46C8-BC54-BF6659182B33}" name="ID_Movimentacao" dataDxfId="9"/>
    <tableColumn id="2" xr3:uid="{F5D27117-46DC-477A-B48B-957CC1CDEC0C}" name="Data" dataDxfId="8"/>
    <tableColumn id="3" xr3:uid="{AC4E4049-7708-4B8D-B6A3-F1B4A42B0B7F}" name="Tipo" dataDxfId="7"/>
    <tableColumn id="4" xr3:uid="{2C0CDC9B-0104-4D2C-8E43-42E3FBDC5993}" name="Produto" dataDxfId="6"/>
    <tableColumn id="5" xr3:uid="{51F39EB9-992C-4437-930C-02A2E04C0F11}" name="Categoria" dataDxfId="5"/>
    <tableColumn id="6" xr3:uid="{5A605E2B-E260-4D56-B1FC-718875EC3F85}" name="Quantidade" dataDxfId="4"/>
    <tableColumn id="7" xr3:uid="{FF3BD283-BCDB-4495-9B13-2084A3743B9B}" name="Valor_Unitario" dataDxfId="3" dataCellStyle="Moeda"/>
    <tableColumn id="8" xr3:uid="{33749085-A560-4A03-B37E-582CF780AF7B}" name="Valor_Total" dataDxfId="2"/>
    <tableColumn id="9" xr3:uid="{E7A9BEF2-A3CC-4AC3-98F6-6E4C8CC33C23}" name="Fornecedor" dataDxfId="1"/>
    <tableColumn id="10" xr3:uid="{BAC3337F-91C8-4799-8DEC-09ECEB8F0176}" name="Responsavel" dataDxfId="0"/>
  </tableColumns>
  <tableStyleInfo name="TableStyleMedium1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A9B19ED-88AB-4FEE-953E-C709D856D48E}" name="Tabela2" displayName="Tabela2" ref="A3:I53" totalsRowShown="0" headerRowDxfId="18" dataDxfId="19" headerRowBorderDxfId="27" tableBorderDxfId="28" totalsRowBorderDxfId="26">
  <autoFilter ref="A3:I53" xr:uid="{CA9B19ED-88AB-4FEE-953E-C709D856D48E}"/>
  <tableColumns count="9">
    <tableColumn id="1" xr3:uid="{700BE321-2E67-48A9-A798-5775AFB9934A}" name="Id_Produto" dataDxfId="25"/>
    <tableColumn id="2" xr3:uid="{CA7D13D7-5E6B-4059-91FA-F41799ECF100}" name="Produto" dataDxfId="24"/>
    <tableColumn id="3" xr3:uid="{B0A7BA64-CF55-4105-8461-5D2BD2DF5201}" name="Categoria" dataDxfId="23"/>
    <tableColumn id="4" xr3:uid="{0BE940A0-C966-48FF-9175-F0E6DBC59509}" name="Valor_Únitario" dataDxfId="22"/>
    <tableColumn id="5" xr3:uid="{170D0E38-0E47-48D4-BE42-233341D59B8A}" name="Unidade" dataDxfId="15"/>
    <tableColumn id="6" xr3:uid="{739AD95A-B684-420A-B775-3CACD8C6E4AE}" name="Fornecedor" dataDxfId="21"/>
    <tableColumn id="7" xr3:uid="{EC1C3058-0F7A-4B21-AEE2-5F9B47FC1505}" name="Estoque_Mínimo" dataDxfId="17"/>
    <tableColumn id="8" xr3:uid="{1BE0A6D1-9771-427D-B19F-A5C4977D86EA}" name="Estoque_Máximo" dataDxfId="16"/>
    <tableColumn id="9" xr3:uid="{A1A8BC1C-5571-4919-9D1E-E1360BBDD368}" name="Observações" dataDxfId="2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7F100-7622-41DC-91FF-2E972F8C7DC0}">
  <dimension ref="A1:K53"/>
  <sheetViews>
    <sheetView tabSelected="1" workbookViewId="0">
      <selection activeCell="C10" sqref="C10"/>
    </sheetView>
  </sheetViews>
  <sheetFormatPr defaultRowHeight="15" x14ac:dyDescent="0.25"/>
  <cols>
    <col min="1" max="1" width="22.85546875" customWidth="1"/>
    <col min="2" max="2" width="12.28515625" customWidth="1"/>
    <col min="3" max="3" width="11.5703125" customWidth="1"/>
    <col min="4" max="4" width="21" bestFit="1" customWidth="1"/>
    <col min="5" max="5" width="15" customWidth="1"/>
    <col min="6" max="6" width="15.140625" customWidth="1"/>
    <col min="7" max="7" width="17.7109375" customWidth="1"/>
    <col min="8" max="8" width="15.140625" customWidth="1"/>
    <col min="9" max="9" width="15.85546875" bestFit="1" customWidth="1"/>
    <col min="10" max="10" width="17" customWidth="1"/>
    <col min="11" max="11" width="10.5703125" bestFit="1" customWidth="1"/>
    <col min="12" max="12" width="14.28515625" bestFit="1" customWidth="1"/>
    <col min="13" max="13" width="12.140625" bestFit="1" customWidth="1"/>
  </cols>
  <sheetData>
    <row r="1" spans="1:11" s="18" customFormat="1" ht="46.5" x14ac:dyDescent="0.7">
      <c r="A1" s="18" t="s">
        <v>10</v>
      </c>
      <c r="D1" s="40"/>
    </row>
    <row r="2" spans="1:11" s="1" customFormat="1" ht="6.75" customHeight="1" x14ac:dyDescent="0.25"/>
    <row r="3" spans="1:11" ht="15.75" customHeight="1" x14ac:dyDescent="0.25">
      <c r="A3" s="19" t="s">
        <v>0</v>
      </c>
      <c r="B3" s="20" t="s">
        <v>1</v>
      </c>
      <c r="C3" s="21" t="s">
        <v>2</v>
      </c>
      <c r="D3" s="20" t="s">
        <v>3</v>
      </c>
      <c r="E3" s="20" t="s">
        <v>4</v>
      </c>
      <c r="F3" s="20" t="s">
        <v>5</v>
      </c>
      <c r="G3" s="21" t="s">
        <v>6</v>
      </c>
      <c r="H3" s="21" t="s">
        <v>7</v>
      </c>
      <c r="I3" s="21" t="s">
        <v>8</v>
      </c>
      <c r="J3" s="22" t="s">
        <v>9</v>
      </c>
      <c r="K3" s="5"/>
    </row>
    <row r="4" spans="1:11" x14ac:dyDescent="0.25">
      <c r="A4" s="7">
        <v>1</v>
      </c>
      <c r="B4" s="3">
        <v>46023</v>
      </c>
      <c r="C4" s="2" t="s">
        <v>11</v>
      </c>
      <c r="D4" s="2" t="s">
        <v>12</v>
      </c>
      <c r="E4" s="2" t="s">
        <v>13</v>
      </c>
      <c r="F4" s="2">
        <v>100</v>
      </c>
      <c r="G4" s="4">
        <v>1.5</v>
      </c>
      <c r="H4" s="5">
        <f>F4*G4</f>
        <v>150</v>
      </c>
      <c r="I4" s="2" t="s">
        <v>14</v>
      </c>
      <c r="J4" s="8" t="s">
        <v>15</v>
      </c>
      <c r="K4" s="5"/>
    </row>
    <row r="5" spans="1:11" x14ac:dyDescent="0.25">
      <c r="A5" s="7">
        <v>2</v>
      </c>
      <c r="B5" s="3">
        <v>46024</v>
      </c>
      <c r="C5" s="2" t="s">
        <v>16</v>
      </c>
      <c r="D5" s="2" t="s">
        <v>75</v>
      </c>
      <c r="E5" s="2" t="s">
        <v>13</v>
      </c>
      <c r="F5" s="2">
        <v>20</v>
      </c>
      <c r="G5" s="4">
        <v>1.5</v>
      </c>
      <c r="H5" s="6">
        <v>30</v>
      </c>
      <c r="I5" s="2" t="s">
        <v>14</v>
      </c>
      <c r="J5" s="8" t="s">
        <v>15</v>
      </c>
    </row>
    <row r="6" spans="1:11" x14ac:dyDescent="0.25">
      <c r="A6" s="7">
        <v>3</v>
      </c>
      <c r="B6" s="3">
        <v>46025</v>
      </c>
      <c r="C6" s="2" t="s">
        <v>11</v>
      </c>
      <c r="D6" s="2" t="s">
        <v>19</v>
      </c>
      <c r="E6" s="2" t="s">
        <v>13</v>
      </c>
      <c r="F6" s="2">
        <v>50</v>
      </c>
      <c r="G6" s="4">
        <v>12</v>
      </c>
      <c r="H6" s="6">
        <v>600</v>
      </c>
      <c r="I6" s="2" t="s">
        <v>20</v>
      </c>
      <c r="J6" s="8" t="s">
        <v>15</v>
      </c>
    </row>
    <row r="7" spans="1:11" x14ac:dyDescent="0.25">
      <c r="A7" s="7">
        <v>4</v>
      </c>
      <c r="B7" s="3">
        <v>46026</v>
      </c>
      <c r="C7" s="2" t="s">
        <v>16</v>
      </c>
      <c r="D7" s="2" t="s">
        <v>22</v>
      </c>
      <c r="E7" s="2" t="s">
        <v>23</v>
      </c>
      <c r="F7" s="2">
        <v>10</v>
      </c>
      <c r="G7" s="4">
        <v>12</v>
      </c>
      <c r="H7" s="6">
        <v>120</v>
      </c>
      <c r="I7" s="2" t="s">
        <v>24</v>
      </c>
      <c r="J7" s="8" t="s">
        <v>17</v>
      </c>
    </row>
    <row r="8" spans="1:11" x14ac:dyDescent="0.25">
      <c r="A8" s="7">
        <v>5</v>
      </c>
      <c r="B8" s="3">
        <v>46027</v>
      </c>
      <c r="C8" s="2" t="s">
        <v>11</v>
      </c>
      <c r="D8" s="2" t="s">
        <v>26</v>
      </c>
      <c r="E8" s="2" t="s">
        <v>23</v>
      </c>
      <c r="F8" s="2">
        <v>200</v>
      </c>
      <c r="G8" s="4">
        <v>25</v>
      </c>
      <c r="H8" s="6">
        <f>Tabela1[[#This Row],[Quantidade]]*Tabela1[[#This Row],[Valor_Unitario]]</f>
        <v>5000</v>
      </c>
      <c r="I8" s="2" t="s">
        <v>24</v>
      </c>
      <c r="J8" s="8" t="s">
        <v>21</v>
      </c>
    </row>
    <row r="9" spans="1:11" x14ac:dyDescent="0.25">
      <c r="A9" s="7">
        <v>6</v>
      </c>
      <c r="B9" s="3">
        <v>46028</v>
      </c>
      <c r="C9" s="2" t="s">
        <v>16</v>
      </c>
      <c r="D9" s="2" t="s">
        <v>27</v>
      </c>
      <c r="E9" s="2" t="s">
        <v>28</v>
      </c>
      <c r="F9" s="2">
        <v>40</v>
      </c>
      <c r="G9" s="4">
        <v>25</v>
      </c>
      <c r="H9" s="6">
        <v>1000</v>
      </c>
      <c r="I9" s="2" t="s">
        <v>29</v>
      </c>
      <c r="J9" s="8" t="s">
        <v>15</v>
      </c>
    </row>
    <row r="10" spans="1:11" x14ac:dyDescent="0.25">
      <c r="A10" s="7">
        <v>7</v>
      </c>
      <c r="B10" s="3">
        <v>46029</v>
      </c>
      <c r="C10" s="2" t="s">
        <v>11</v>
      </c>
      <c r="D10" s="2" t="s">
        <v>30</v>
      </c>
      <c r="E10" s="2" t="s">
        <v>28</v>
      </c>
      <c r="F10" s="2">
        <v>80</v>
      </c>
      <c r="G10" s="4">
        <v>3.2</v>
      </c>
      <c r="H10" s="6">
        <v>256</v>
      </c>
      <c r="I10" s="2" t="s">
        <v>29</v>
      </c>
      <c r="J10" s="8" t="s">
        <v>25</v>
      </c>
      <c r="K10" s="5"/>
    </row>
    <row r="11" spans="1:11" x14ac:dyDescent="0.25">
      <c r="A11" s="7">
        <v>8</v>
      </c>
      <c r="B11" s="3">
        <v>46030</v>
      </c>
      <c r="C11" s="2" t="s">
        <v>16</v>
      </c>
      <c r="D11" s="2" t="s">
        <v>31</v>
      </c>
      <c r="E11" s="2" t="s">
        <v>32</v>
      </c>
      <c r="F11" s="2">
        <v>15</v>
      </c>
      <c r="G11" s="4">
        <v>3.2</v>
      </c>
      <c r="H11" s="6">
        <v>48</v>
      </c>
      <c r="I11" s="2" t="s">
        <v>33</v>
      </c>
      <c r="J11" s="8" t="s">
        <v>25</v>
      </c>
    </row>
    <row r="12" spans="1:11" x14ac:dyDescent="0.25">
      <c r="A12" s="7">
        <v>9</v>
      </c>
      <c r="B12" s="3">
        <v>46031</v>
      </c>
      <c r="C12" s="2" t="s">
        <v>11</v>
      </c>
      <c r="D12" s="2" t="s">
        <v>76</v>
      </c>
      <c r="E12" s="2" t="s">
        <v>32</v>
      </c>
      <c r="F12" s="2">
        <v>60</v>
      </c>
      <c r="G12" s="4">
        <v>7.5</v>
      </c>
      <c r="H12" s="6">
        <v>450</v>
      </c>
      <c r="I12" s="2" t="s">
        <v>33</v>
      </c>
      <c r="J12" s="8" t="s">
        <v>21</v>
      </c>
    </row>
    <row r="13" spans="1:11" x14ac:dyDescent="0.25">
      <c r="A13" s="7">
        <v>10</v>
      </c>
      <c r="B13" s="3">
        <v>46032</v>
      </c>
      <c r="C13" s="2" t="s">
        <v>16</v>
      </c>
      <c r="D13" s="2" t="s">
        <v>34</v>
      </c>
      <c r="E13" s="2" t="s">
        <v>13</v>
      </c>
      <c r="F13" s="2">
        <v>12</v>
      </c>
      <c r="G13" s="4">
        <v>7.5</v>
      </c>
      <c r="H13" s="6">
        <v>90</v>
      </c>
      <c r="I13" s="2" t="s">
        <v>14</v>
      </c>
      <c r="J13" s="8" t="s">
        <v>17</v>
      </c>
    </row>
    <row r="14" spans="1:11" x14ac:dyDescent="0.25">
      <c r="A14" s="7">
        <v>11</v>
      </c>
      <c r="B14" s="3">
        <v>46033</v>
      </c>
      <c r="C14" s="2" t="s">
        <v>11</v>
      </c>
      <c r="D14" s="2" t="s">
        <v>35</v>
      </c>
      <c r="E14" s="2" t="s">
        <v>13</v>
      </c>
      <c r="F14" s="2">
        <v>150</v>
      </c>
      <c r="G14" s="4">
        <v>2</v>
      </c>
      <c r="H14" s="6">
        <v>300</v>
      </c>
      <c r="I14" s="2" t="s">
        <v>14</v>
      </c>
      <c r="J14" s="8" t="s">
        <v>15</v>
      </c>
    </row>
    <row r="15" spans="1:11" x14ac:dyDescent="0.25">
      <c r="A15" s="7">
        <v>12</v>
      </c>
      <c r="B15" s="3">
        <v>46034</v>
      </c>
      <c r="C15" s="2" t="s">
        <v>16</v>
      </c>
      <c r="D15" s="2" t="s">
        <v>36</v>
      </c>
      <c r="E15" s="2" t="s">
        <v>23</v>
      </c>
      <c r="F15" s="2">
        <v>30</v>
      </c>
      <c r="G15" s="4">
        <v>2</v>
      </c>
      <c r="H15" s="6">
        <v>60</v>
      </c>
      <c r="I15" s="2" t="s">
        <v>24</v>
      </c>
      <c r="J15" s="8" t="s">
        <v>15</v>
      </c>
    </row>
    <row r="16" spans="1:11" x14ac:dyDescent="0.25">
      <c r="A16" s="7">
        <v>13</v>
      </c>
      <c r="B16" s="3">
        <v>46035</v>
      </c>
      <c r="C16" s="2" t="s">
        <v>11</v>
      </c>
      <c r="D16" s="2" t="s">
        <v>37</v>
      </c>
      <c r="E16" s="2" t="s">
        <v>13</v>
      </c>
      <c r="F16" s="2">
        <v>90</v>
      </c>
      <c r="G16" s="4">
        <v>4</v>
      </c>
      <c r="H16" s="6">
        <v>360</v>
      </c>
      <c r="I16" s="2" t="s">
        <v>20</v>
      </c>
      <c r="J16" s="8" t="s">
        <v>25</v>
      </c>
    </row>
    <row r="17" spans="1:11" x14ac:dyDescent="0.25">
      <c r="A17" s="7">
        <v>14</v>
      </c>
      <c r="B17" s="3">
        <v>46036</v>
      </c>
      <c r="C17" s="2" t="s">
        <v>16</v>
      </c>
      <c r="D17" s="2" t="s">
        <v>38</v>
      </c>
      <c r="E17" s="2" t="s">
        <v>32</v>
      </c>
      <c r="F17" s="2">
        <v>18</v>
      </c>
      <c r="G17" s="4">
        <v>4</v>
      </c>
      <c r="H17" s="6">
        <v>72</v>
      </c>
      <c r="I17" s="2" t="s">
        <v>33</v>
      </c>
      <c r="J17" s="8" t="s">
        <v>21</v>
      </c>
    </row>
    <row r="18" spans="1:11" x14ac:dyDescent="0.25">
      <c r="A18" s="7">
        <v>15</v>
      </c>
      <c r="B18" s="3">
        <v>46037</v>
      </c>
      <c r="C18" s="2" t="s">
        <v>11</v>
      </c>
      <c r="D18" s="2" t="s">
        <v>39</v>
      </c>
      <c r="E18" s="2" t="s">
        <v>32</v>
      </c>
      <c r="F18" s="2">
        <v>40</v>
      </c>
      <c r="G18" s="4">
        <v>35</v>
      </c>
      <c r="H18" s="6">
        <v>1400</v>
      </c>
      <c r="I18" s="2" t="s">
        <v>33</v>
      </c>
      <c r="J18" s="8" t="s">
        <v>17</v>
      </c>
    </row>
    <row r="19" spans="1:11" x14ac:dyDescent="0.25">
      <c r="A19" s="7">
        <v>16</v>
      </c>
      <c r="B19" s="3">
        <v>46038</v>
      </c>
      <c r="C19" s="2" t="s">
        <v>16</v>
      </c>
      <c r="D19" s="2" t="s">
        <v>40</v>
      </c>
      <c r="E19" s="2" t="s">
        <v>23</v>
      </c>
      <c r="F19" s="2">
        <v>8</v>
      </c>
      <c r="G19" s="4">
        <v>35</v>
      </c>
      <c r="H19" s="6">
        <v>280</v>
      </c>
      <c r="I19" s="2" t="s">
        <v>24</v>
      </c>
      <c r="J19" s="8" t="s">
        <v>15</v>
      </c>
    </row>
    <row r="20" spans="1:11" x14ac:dyDescent="0.25">
      <c r="A20" s="7">
        <v>17</v>
      </c>
      <c r="B20" s="3">
        <v>46039</v>
      </c>
      <c r="C20" s="2" t="s">
        <v>11</v>
      </c>
      <c r="D20" s="2" t="s">
        <v>41</v>
      </c>
      <c r="E20" s="2" t="s">
        <v>13</v>
      </c>
      <c r="F20" s="2">
        <v>60</v>
      </c>
      <c r="G20" s="4">
        <v>55</v>
      </c>
      <c r="H20" s="6">
        <v>3300</v>
      </c>
      <c r="I20" s="2" t="s">
        <v>14</v>
      </c>
      <c r="J20" s="8" t="s">
        <v>21</v>
      </c>
    </row>
    <row r="21" spans="1:11" x14ac:dyDescent="0.25">
      <c r="A21" s="7">
        <v>18</v>
      </c>
      <c r="B21" s="3">
        <v>46040</v>
      </c>
      <c r="C21" s="2" t="s">
        <v>16</v>
      </c>
      <c r="D21" s="2" t="s">
        <v>42</v>
      </c>
      <c r="E21" s="2" t="s">
        <v>32</v>
      </c>
      <c r="F21" s="2">
        <v>12</v>
      </c>
      <c r="G21" s="4">
        <v>55</v>
      </c>
      <c r="H21" s="6">
        <v>660</v>
      </c>
      <c r="I21" s="2" t="s">
        <v>33</v>
      </c>
      <c r="J21" s="8" t="s">
        <v>17</v>
      </c>
    </row>
    <row r="22" spans="1:11" x14ac:dyDescent="0.25">
      <c r="A22" s="7">
        <v>19</v>
      </c>
      <c r="B22" s="3">
        <v>46041</v>
      </c>
      <c r="C22" s="2" t="s">
        <v>11</v>
      </c>
      <c r="D22" s="2" t="s">
        <v>43</v>
      </c>
      <c r="E22" s="2" t="s">
        <v>28</v>
      </c>
      <c r="F22" s="2">
        <v>25</v>
      </c>
      <c r="G22" s="4">
        <v>18</v>
      </c>
      <c r="H22" s="6">
        <v>450</v>
      </c>
      <c r="I22" s="2" t="s">
        <v>29</v>
      </c>
      <c r="J22" s="8" t="s">
        <v>25</v>
      </c>
    </row>
    <row r="23" spans="1:11" x14ac:dyDescent="0.25">
      <c r="A23" s="7">
        <v>20</v>
      </c>
      <c r="B23" s="3">
        <v>46042</v>
      </c>
      <c r="C23" s="2" t="s">
        <v>16</v>
      </c>
      <c r="D23" s="2" t="s">
        <v>44</v>
      </c>
      <c r="E23" s="2" t="s">
        <v>23</v>
      </c>
      <c r="F23" s="2">
        <v>5</v>
      </c>
      <c r="G23" s="4">
        <v>18</v>
      </c>
      <c r="H23" s="6">
        <v>90</v>
      </c>
      <c r="I23" s="2" t="s">
        <v>24</v>
      </c>
      <c r="J23" s="8" t="s">
        <v>15</v>
      </c>
    </row>
    <row r="24" spans="1:11" x14ac:dyDescent="0.25">
      <c r="A24" s="7">
        <v>21</v>
      </c>
      <c r="B24" s="3">
        <v>46043</v>
      </c>
      <c r="C24" s="2" t="s">
        <v>11</v>
      </c>
      <c r="D24" s="2" t="s">
        <v>45</v>
      </c>
      <c r="E24" s="2" t="s">
        <v>13</v>
      </c>
      <c r="F24" s="2">
        <v>70</v>
      </c>
      <c r="G24" s="4">
        <v>3.5</v>
      </c>
      <c r="H24" s="6">
        <v>245</v>
      </c>
      <c r="I24" s="2" t="s">
        <v>14</v>
      </c>
      <c r="J24" s="8" t="s">
        <v>21</v>
      </c>
    </row>
    <row r="25" spans="1:11" x14ac:dyDescent="0.25">
      <c r="A25" s="7">
        <v>22</v>
      </c>
      <c r="B25" s="3">
        <v>46044</v>
      </c>
      <c r="C25" s="2" t="s">
        <v>16</v>
      </c>
      <c r="D25" s="2" t="s">
        <v>46</v>
      </c>
      <c r="E25" s="2" t="s">
        <v>32</v>
      </c>
      <c r="F25" s="2">
        <v>14</v>
      </c>
      <c r="G25" s="4">
        <v>3.5</v>
      </c>
      <c r="H25" s="6">
        <v>49</v>
      </c>
      <c r="I25" s="2" t="s">
        <v>33</v>
      </c>
      <c r="J25" s="8" t="s">
        <v>17</v>
      </c>
    </row>
    <row r="26" spans="1:11" x14ac:dyDescent="0.25">
      <c r="A26" s="7">
        <v>23</v>
      </c>
      <c r="B26" s="3">
        <v>46045</v>
      </c>
      <c r="C26" s="2" t="s">
        <v>11</v>
      </c>
      <c r="D26" s="2" t="s">
        <v>47</v>
      </c>
      <c r="E26" s="2" t="s">
        <v>32</v>
      </c>
      <c r="F26" s="2">
        <v>50</v>
      </c>
      <c r="G26" s="4">
        <v>9</v>
      </c>
      <c r="H26" s="6">
        <v>450</v>
      </c>
      <c r="I26" s="2" t="s">
        <v>33</v>
      </c>
      <c r="J26" s="8" t="s">
        <v>15</v>
      </c>
    </row>
    <row r="27" spans="1:11" x14ac:dyDescent="0.25">
      <c r="A27" s="7">
        <v>24</v>
      </c>
      <c r="B27" s="3">
        <v>46046</v>
      </c>
      <c r="C27" s="2" t="s">
        <v>16</v>
      </c>
      <c r="D27" s="2" t="s">
        <v>48</v>
      </c>
      <c r="E27" s="2" t="s">
        <v>28</v>
      </c>
      <c r="F27" s="2">
        <v>10</v>
      </c>
      <c r="G27" s="4">
        <v>9</v>
      </c>
      <c r="H27" s="6">
        <v>90</v>
      </c>
      <c r="I27" s="2" t="s">
        <v>29</v>
      </c>
      <c r="J27" s="8" t="s">
        <v>21</v>
      </c>
    </row>
    <row r="28" spans="1:11" x14ac:dyDescent="0.25">
      <c r="A28" s="7">
        <v>25</v>
      </c>
      <c r="B28" s="3">
        <v>46047</v>
      </c>
      <c r="C28" s="2" t="s">
        <v>11</v>
      </c>
      <c r="D28" s="2" t="s">
        <v>49</v>
      </c>
      <c r="E28" s="2" t="s">
        <v>23</v>
      </c>
      <c r="F28" s="2">
        <v>120</v>
      </c>
      <c r="G28" s="4">
        <v>0.8</v>
      </c>
      <c r="H28" s="6">
        <v>96</v>
      </c>
      <c r="I28" s="2" t="s">
        <v>24</v>
      </c>
      <c r="J28" s="8" t="s">
        <v>25</v>
      </c>
    </row>
    <row r="29" spans="1:11" x14ac:dyDescent="0.25">
      <c r="A29" s="7">
        <v>26</v>
      </c>
      <c r="B29" s="3">
        <v>46048</v>
      </c>
      <c r="C29" s="2" t="s">
        <v>16</v>
      </c>
      <c r="D29" s="2" t="s">
        <v>50</v>
      </c>
      <c r="E29" s="2" t="s">
        <v>13</v>
      </c>
      <c r="F29" s="2">
        <v>25</v>
      </c>
      <c r="G29" s="4">
        <v>0.8</v>
      </c>
      <c r="H29" s="6">
        <v>2.4</v>
      </c>
      <c r="I29" s="2" t="s">
        <v>14</v>
      </c>
      <c r="J29" s="8" t="s">
        <v>17</v>
      </c>
      <c r="K29" s="5"/>
    </row>
    <row r="30" spans="1:11" x14ac:dyDescent="0.25">
      <c r="A30" s="7">
        <v>27</v>
      </c>
      <c r="B30" s="3">
        <v>46049</v>
      </c>
      <c r="C30" s="2" t="s">
        <v>11</v>
      </c>
      <c r="D30" s="2" t="s">
        <v>51</v>
      </c>
      <c r="E30" s="2" t="s">
        <v>13</v>
      </c>
      <c r="F30" s="2">
        <v>15</v>
      </c>
      <c r="G30" s="4">
        <v>320</v>
      </c>
      <c r="H30" s="6">
        <v>4800</v>
      </c>
      <c r="I30" s="2" t="s">
        <v>14</v>
      </c>
      <c r="J30" s="8" t="s">
        <v>15</v>
      </c>
    </row>
    <row r="31" spans="1:11" x14ac:dyDescent="0.25">
      <c r="A31" s="7">
        <v>28</v>
      </c>
      <c r="B31" s="3">
        <v>46050</v>
      </c>
      <c r="C31" s="2" t="s">
        <v>16</v>
      </c>
      <c r="D31" s="2" t="s">
        <v>52</v>
      </c>
      <c r="E31" s="2" t="s">
        <v>13</v>
      </c>
      <c r="F31" s="2">
        <v>3</v>
      </c>
      <c r="G31" s="4">
        <v>320</v>
      </c>
      <c r="H31" s="6">
        <v>960</v>
      </c>
      <c r="I31" s="2" t="s">
        <v>14</v>
      </c>
      <c r="J31" s="8" t="s">
        <v>21</v>
      </c>
    </row>
    <row r="32" spans="1:11" x14ac:dyDescent="0.25">
      <c r="A32" s="7">
        <v>29</v>
      </c>
      <c r="B32" s="3">
        <v>46051</v>
      </c>
      <c r="C32" s="2" t="s">
        <v>11</v>
      </c>
      <c r="D32" s="2" t="s">
        <v>53</v>
      </c>
      <c r="E32" s="2" t="s">
        <v>13</v>
      </c>
      <c r="F32" s="2">
        <v>10</v>
      </c>
      <c r="G32" s="4">
        <v>850</v>
      </c>
      <c r="H32" s="6">
        <v>8500</v>
      </c>
      <c r="I32" s="2" t="s">
        <v>14</v>
      </c>
      <c r="J32" s="8" t="s">
        <v>15</v>
      </c>
    </row>
    <row r="33" spans="1:11" x14ac:dyDescent="0.25">
      <c r="A33" s="7">
        <v>30</v>
      </c>
      <c r="B33" s="3">
        <v>46052</v>
      </c>
      <c r="C33" s="2" t="s">
        <v>16</v>
      </c>
      <c r="D33" s="2" t="s">
        <v>54</v>
      </c>
      <c r="E33" s="2" t="s">
        <v>13</v>
      </c>
      <c r="F33" s="2">
        <v>2</v>
      </c>
      <c r="G33" s="4">
        <v>850</v>
      </c>
      <c r="H33" s="6">
        <v>1700</v>
      </c>
      <c r="I33" s="2" t="s">
        <v>14</v>
      </c>
      <c r="J33" s="8" t="s">
        <v>17</v>
      </c>
    </row>
    <row r="34" spans="1:11" x14ac:dyDescent="0.25">
      <c r="A34" s="7">
        <v>31</v>
      </c>
      <c r="B34" s="3">
        <v>46053</v>
      </c>
      <c r="C34" s="2" t="s">
        <v>11</v>
      </c>
      <c r="D34" s="2" t="s">
        <v>55</v>
      </c>
      <c r="E34" s="2" t="s">
        <v>13</v>
      </c>
      <c r="F34" s="2">
        <v>40</v>
      </c>
      <c r="G34" s="4">
        <v>15</v>
      </c>
      <c r="H34" s="6">
        <v>600</v>
      </c>
      <c r="I34" s="2" t="s">
        <v>20</v>
      </c>
      <c r="J34" s="8" t="s">
        <v>25</v>
      </c>
    </row>
    <row r="35" spans="1:11" x14ac:dyDescent="0.25">
      <c r="A35" s="7">
        <v>32</v>
      </c>
      <c r="B35" s="3">
        <v>46054</v>
      </c>
      <c r="C35" s="2" t="s">
        <v>16</v>
      </c>
      <c r="D35" s="2" t="s">
        <v>56</v>
      </c>
      <c r="E35" s="2" t="s">
        <v>32</v>
      </c>
      <c r="F35" s="2">
        <v>8</v>
      </c>
      <c r="G35" s="4">
        <v>15</v>
      </c>
      <c r="H35" s="6">
        <v>120</v>
      </c>
      <c r="I35" s="2" t="s">
        <v>33</v>
      </c>
      <c r="J35" s="8" t="s">
        <v>21</v>
      </c>
    </row>
    <row r="36" spans="1:11" x14ac:dyDescent="0.25">
      <c r="A36" s="7">
        <v>33</v>
      </c>
      <c r="B36" s="3">
        <v>46055</v>
      </c>
      <c r="C36" s="2" t="s">
        <v>11</v>
      </c>
      <c r="D36" s="2" t="s">
        <v>57</v>
      </c>
      <c r="E36" s="2" t="s">
        <v>32</v>
      </c>
      <c r="F36" s="2">
        <v>60</v>
      </c>
      <c r="G36" s="4">
        <v>6</v>
      </c>
      <c r="H36" s="6">
        <v>360</v>
      </c>
      <c r="I36" s="2" t="s">
        <v>33</v>
      </c>
      <c r="J36" s="8" t="s">
        <v>17</v>
      </c>
    </row>
    <row r="37" spans="1:11" x14ac:dyDescent="0.25">
      <c r="A37" s="7">
        <v>34</v>
      </c>
      <c r="B37" s="3">
        <v>46056</v>
      </c>
      <c r="C37" s="2" t="s">
        <v>16</v>
      </c>
      <c r="D37" s="2" t="s">
        <v>58</v>
      </c>
      <c r="E37" s="2" t="s">
        <v>13</v>
      </c>
      <c r="F37" s="2">
        <v>12</v>
      </c>
      <c r="G37" s="4">
        <v>6</v>
      </c>
      <c r="H37" s="6">
        <v>72</v>
      </c>
      <c r="I37" s="2" t="s">
        <v>14</v>
      </c>
      <c r="J37" s="8" t="s">
        <v>15</v>
      </c>
    </row>
    <row r="38" spans="1:11" x14ac:dyDescent="0.25">
      <c r="A38" s="7">
        <v>35</v>
      </c>
      <c r="B38" s="3">
        <v>46057</v>
      </c>
      <c r="C38" s="2" t="s">
        <v>11</v>
      </c>
      <c r="D38" s="2" t="s">
        <v>59</v>
      </c>
      <c r="E38" s="2" t="s">
        <v>13</v>
      </c>
      <c r="F38" s="2">
        <v>25</v>
      </c>
      <c r="G38" s="4">
        <v>28</v>
      </c>
      <c r="H38" s="6">
        <v>700</v>
      </c>
      <c r="I38" s="2" t="s">
        <v>14</v>
      </c>
      <c r="J38" s="8" t="s">
        <v>21</v>
      </c>
    </row>
    <row r="39" spans="1:11" x14ac:dyDescent="0.25">
      <c r="A39" s="7">
        <v>36</v>
      </c>
      <c r="B39" s="3">
        <v>46058</v>
      </c>
      <c r="C39" s="2" t="s">
        <v>16</v>
      </c>
      <c r="D39" s="2" t="s">
        <v>60</v>
      </c>
      <c r="E39" s="2" t="s">
        <v>32</v>
      </c>
      <c r="F39" s="2">
        <v>5</v>
      </c>
      <c r="G39" s="4">
        <v>28</v>
      </c>
      <c r="H39" s="6">
        <v>140</v>
      </c>
      <c r="I39" s="2" t="s">
        <v>33</v>
      </c>
      <c r="J39" s="8" t="s">
        <v>25</v>
      </c>
    </row>
    <row r="40" spans="1:11" x14ac:dyDescent="0.25">
      <c r="A40" s="7">
        <v>37</v>
      </c>
      <c r="B40" s="3">
        <v>46059</v>
      </c>
      <c r="C40" s="2" t="s">
        <v>11</v>
      </c>
      <c r="D40" s="2" t="s">
        <v>61</v>
      </c>
      <c r="E40" s="2" t="s">
        <v>28</v>
      </c>
      <c r="F40" s="2">
        <v>200</v>
      </c>
      <c r="G40" s="4">
        <v>0.25</v>
      </c>
      <c r="H40" s="6">
        <v>50</v>
      </c>
      <c r="I40" s="2" t="s">
        <v>29</v>
      </c>
      <c r="J40" s="8" t="s">
        <v>17</v>
      </c>
    </row>
    <row r="41" spans="1:11" x14ac:dyDescent="0.25">
      <c r="A41" s="7">
        <v>38</v>
      </c>
      <c r="B41" s="3">
        <v>46060</v>
      </c>
      <c r="C41" s="2" t="s">
        <v>16</v>
      </c>
      <c r="D41" s="2" t="s">
        <v>62</v>
      </c>
      <c r="E41" s="2" t="s">
        <v>23</v>
      </c>
      <c r="F41" s="2">
        <v>40</v>
      </c>
      <c r="G41" s="4">
        <v>0.25</v>
      </c>
      <c r="H41" s="6">
        <v>10</v>
      </c>
      <c r="I41" s="2" t="s">
        <v>24</v>
      </c>
      <c r="J41" s="8" t="s">
        <v>15</v>
      </c>
    </row>
    <row r="42" spans="1:11" x14ac:dyDescent="0.25">
      <c r="A42" s="7">
        <v>39</v>
      </c>
      <c r="B42" s="3">
        <v>46061</v>
      </c>
      <c r="C42" s="2" t="s">
        <v>11</v>
      </c>
      <c r="D42" s="2" t="s">
        <v>63</v>
      </c>
      <c r="E42" s="2" t="s">
        <v>13</v>
      </c>
      <c r="F42" s="2">
        <v>100</v>
      </c>
      <c r="G42" s="4">
        <v>4.5</v>
      </c>
      <c r="H42" s="6">
        <v>450</v>
      </c>
      <c r="I42" s="2" t="s">
        <v>14</v>
      </c>
      <c r="J42" s="8" t="s">
        <v>21</v>
      </c>
    </row>
    <row r="43" spans="1:11" x14ac:dyDescent="0.25">
      <c r="A43" s="7">
        <v>40</v>
      </c>
      <c r="B43" s="3">
        <v>46062</v>
      </c>
      <c r="C43" s="2" t="s">
        <v>16</v>
      </c>
      <c r="D43" s="2" t="s">
        <v>64</v>
      </c>
      <c r="E43" s="2" t="s">
        <v>32</v>
      </c>
      <c r="F43" s="2">
        <v>20</v>
      </c>
      <c r="G43" s="4">
        <v>4.5</v>
      </c>
      <c r="H43" s="6">
        <v>90</v>
      </c>
      <c r="I43" s="2" t="s">
        <v>33</v>
      </c>
      <c r="J43" s="8" t="s">
        <v>17</v>
      </c>
    </row>
    <row r="44" spans="1:11" x14ac:dyDescent="0.25">
      <c r="A44" s="7">
        <v>41</v>
      </c>
      <c r="B44" s="3">
        <v>46063</v>
      </c>
      <c r="C44" s="2" t="s">
        <v>11</v>
      </c>
      <c r="D44" s="2" t="s">
        <v>65</v>
      </c>
      <c r="E44" s="2" t="s">
        <v>32</v>
      </c>
      <c r="F44" s="2">
        <v>20</v>
      </c>
      <c r="G44" s="4">
        <v>45</v>
      </c>
      <c r="H44" s="6">
        <v>900</v>
      </c>
      <c r="I44" s="2" t="s">
        <v>33</v>
      </c>
      <c r="J44" s="8" t="s">
        <v>15</v>
      </c>
      <c r="K44" s="5"/>
    </row>
    <row r="45" spans="1:11" x14ac:dyDescent="0.25">
      <c r="A45" s="7">
        <v>42</v>
      </c>
      <c r="B45" s="3">
        <v>46064</v>
      </c>
      <c r="C45" s="2" t="s">
        <v>16</v>
      </c>
      <c r="D45" s="2" t="s">
        <v>66</v>
      </c>
      <c r="E45" s="2" t="s">
        <v>28</v>
      </c>
      <c r="F45" s="2">
        <v>4</v>
      </c>
      <c r="G45" s="4">
        <v>45</v>
      </c>
      <c r="H45" s="6">
        <v>3500</v>
      </c>
      <c r="I45" s="2" t="s">
        <v>29</v>
      </c>
      <c r="J45" s="8" t="s">
        <v>21</v>
      </c>
    </row>
    <row r="46" spans="1:11" x14ac:dyDescent="0.25">
      <c r="A46" s="7">
        <v>43</v>
      </c>
      <c r="B46" s="3">
        <v>46065</v>
      </c>
      <c r="C46" s="2" t="s">
        <v>11</v>
      </c>
      <c r="D46" s="2" t="s">
        <v>67</v>
      </c>
      <c r="E46" s="2" t="s">
        <v>28</v>
      </c>
      <c r="F46" s="2">
        <v>8</v>
      </c>
      <c r="G46" s="4">
        <v>3500</v>
      </c>
      <c r="H46" s="6">
        <v>28000</v>
      </c>
      <c r="I46" s="2" t="s">
        <v>29</v>
      </c>
      <c r="J46" s="8" t="s">
        <v>25</v>
      </c>
    </row>
    <row r="47" spans="1:11" x14ac:dyDescent="0.25">
      <c r="A47" s="7">
        <v>44</v>
      </c>
      <c r="B47" s="3">
        <v>46066</v>
      </c>
      <c r="C47" s="2" t="s">
        <v>16</v>
      </c>
      <c r="D47" s="2" t="s">
        <v>68</v>
      </c>
      <c r="E47" s="2" t="s">
        <v>23</v>
      </c>
      <c r="F47" s="2">
        <v>1</v>
      </c>
      <c r="G47" s="4">
        <v>3500</v>
      </c>
      <c r="H47" s="6">
        <v>220</v>
      </c>
      <c r="I47" s="2" t="s">
        <v>24</v>
      </c>
      <c r="J47" s="8" t="s">
        <v>17</v>
      </c>
    </row>
    <row r="48" spans="1:11" x14ac:dyDescent="0.25">
      <c r="A48" s="7">
        <v>45</v>
      </c>
      <c r="B48" s="3">
        <v>46067</v>
      </c>
      <c r="C48" s="2" t="s">
        <v>11</v>
      </c>
      <c r="D48" s="2" t="s">
        <v>69</v>
      </c>
      <c r="E48" s="2" t="s">
        <v>13</v>
      </c>
      <c r="F48" s="2">
        <v>50</v>
      </c>
      <c r="G48" s="4">
        <v>22</v>
      </c>
      <c r="H48" s="6">
        <v>1.5</v>
      </c>
      <c r="I48" s="2" t="s">
        <v>14</v>
      </c>
      <c r="J48" s="8" t="s">
        <v>15</v>
      </c>
    </row>
    <row r="49" spans="1:10" x14ac:dyDescent="0.25">
      <c r="A49" s="7">
        <v>46</v>
      </c>
      <c r="B49" s="3">
        <v>46068</v>
      </c>
      <c r="C49" s="2" t="s">
        <v>16</v>
      </c>
      <c r="D49" s="2" t="s">
        <v>70</v>
      </c>
      <c r="E49" s="2" t="s">
        <v>28</v>
      </c>
      <c r="F49" s="2">
        <v>10</v>
      </c>
      <c r="G49" s="4">
        <v>22</v>
      </c>
      <c r="H49" s="6">
        <v>0.3</v>
      </c>
      <c r="I49" s="2" t="s">
        <v>29</v>
      </c>
      <c r="J49" s="8" t="s">
        <v>21</v>
      </c>
    </row>
    <row r="50" spans="1:10" x14ac:dyDescent="0.25">
      <c r="A50" s="7">
        <v>47</v>
      </c>
      <c r="B50" s="3">
        <v>46069</v>
      </c>
      <c r="C50" s="2" t="s">
        <v>11</v>
      </c>
      <c r="D50" s="2" t="s">
        <v>71</v>
      </c>
      <c r="E50" s="2" t="s">
        <v>23</v>
      </c>
      <c r="F50" s="2">
        <v>300</v>
      </c>
      <c r="G50" s="4">
        <v>0.15</v>
      </c>
      <c r="H50" s="6">
        <v>45</v>
      </c>
      <c r="I50" s="2" t="s">
        <v>24</v>
      </c>
      <c r="J50" s="8" t="s">
        <v>25</v>
      </c>
    </row>
    <row r="51" spans="1:10" x14ac:dyDescent="0.25">
      <c r="A51" s="7">
        <v>48</v>
      </c>
      <c r="B51" s="3">
        <v>46070</v>
      </c>
      <c r="C51" s="2" t="s">
        <v>16</v>
      </c>
      <c r="D51" s="2" t="s">
        <v>72</v>
      </c>
      <c r="E51" s="2" t="s">
        <v>13</v>
      </c>
      <c r="F51" s="2">
        <v>60</v>
      </c>
      <c r="G51" s="4">
        <v>0.15</v>
      </c>
      <c r="H51" s="6">
        <v>300</v>
      </c>
      <c r="I51" s="2" t="s">
        <v>14</v>
      </c>
      <c r="J51" s="8" t="s">
        <v>17</v>
      </c>
    </row>
    <row r="52" spans="1:10" x14ac:dyDescent="0.25">
      <c r="A52" s="7">
        <v>49</v>
      </c>
      <c r="B52" s="3">
        <v>46071</v>
      </c>
      <c r="C52" s="2" t="s">
        <v>11</v>
      </c>
      <c r="D52" s="2" t="s">
        <v>73</v>
      </c>
      <c r="E52" s="2" t="s">
        <v>13</v>
      </c>
      <c r="F52" s="2">
        <v>70</v>
      </c>
      <c r="G52" s="4">
        <v>5</v>
      </c>
      <c r="H52" s="6">
        <v>350</v>
      </c>
      <c r="I52" s="2" t="s">
        <v>14</v>
      </c>
      <c r="J52" s="8" t="s">
        <v>15</v>
      </c>
    </row>
    <row r="53" spans="1:10" x14ac:dyDescent="0.25">
      <c r="A53" s="12">
        <v>50</v>
      </c>
      <c r="B53" s="13">
        <v>46072</v>
      </c>
      <c r="C53" s="14" t="s">
        <v>16</v>
      </c>
      <c r="D53" s="14" t="s">
        <v>74</v>
      </c>
      <c r="E53" s="14" t="s">
        <v>28</v>
      </c>
      <c r="F53" s="14">
        <v>14</v>
      </c>
      <c r="G53" s="15">
        <v>5</v>
      </c>
      <c r="H53" s="16">
        <v>70</v>
      </c>
      <c r="I53" s="14" t="s">
        <v>29</v>
      </c>
      <c r="J53" s="17" t="s">
        <v>21</v>
      </c>
    </row>
  </sheetData>
  <conditionalFormatting sqref="C1:C53 C56:C1048576">
    <cfRule type="cellIs" dxfId="14" priority="1" operator="equal">
      <formula>$C$10</formula>
    </cfRule>
    <cfRule type="cellIs" dxfId="13" priority="2" operator="equal">
      <formula>$C$5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D8B75-6ABD-4AB5-9B31-490E7711E57C}">
  <dimension ref="A1:I53"/>
  <sheetViews>
    <sheetView topLeftCell="A73" workbookViewId="0">
      <selection activeCell="K12" sqref="K12"/>
    </sheetView>
  </sheetViews>
  <sheetFormatPr defaultRowHeight="15" x14ac:dyDescent="0.25"/>
  <cols>
    <col min="1" max="1" width="15.5703125" customWidth="1"/>
    <col min="2" max="2" width="19.42578125" customWidth="1"/>
    <col min="3" max="3" width="12.85546875" customWidth="1"/>
    <col min="4" max="4" width="17.5703125" style="25" customWidth="1"/>
    <col min="5" max="5" width="13" style="39" customWidth="1"/>
    <col min="6" max="6" width="18.85546875" customWidth="1"/>
    <col min="7" max="7" width="19.28515625" style="39" customWidth="1"/>
    <col min="8" max="8" width="18.5703125" style="39" customWidth="1"/>
    <col min="9" max="9" width="14.42578125" customWidth="1"/>
  </cols>
  <sheetData>
    <row r="1" spans="1:9" s="41" customFormat="1" ht="46.5" x14ac:dyDescent="0.7">
      <c r="A1" s="41" t="s">
        <v>77</v>
      </c>
      <c r="D1" s="42"/>
      <c r="E1" s="43"/>
      <c r="G1" s="43"/>
      <c r="H1" s="43"/>
    </row>
    <row r="2" spans="1:9" s="23" customFormat="1" ht="6.75" customHeight="1" x14ac:dyDescent="0.25">
      <c r="D2" s="24"/>
      <c r="E2" s="37"/>
      <c r="G2" s="37"/>
      <c r="H2" s="37"/>
    </row>
    <row r="3" spans="1:9" x14ac:dyDescent="0.25">
      <c r="A3" s="9" t="s">
        <v>78</v>
      </c>
      <c r="B3" s="10" t="s">
        <v>3</v>
      </c>
      <c r="C3" s="10" t="s">
        <v>4</v>
      </c>
      <c r="D3" s="30" t="s">
        <v>79</v>
      </c>
      <c r="E3" s="38" t="s">
        <v>80</v>
      </c>
      <c r="F3" s="10" t="s">
        <v>8</v>
      </c>
      <c r="G3" s="38" t="s">
        <v>81</v>
      </c>
      <c r="H3" s="38" t="s">
        <v>82</v>
      </c>
      <c r="I3" s="11" t="s">
        <v>83</v>
      </c>
    </row>
    <row r="4" spans="1:9" ht="30" x14ac:dyDescent="0.25">
      <c r="A4" s="28" t="s">
        <v>84</v>
      </c>
      <c r="B4" s="26" t="s">
        <v>12</v>
      </c>
      <c r="C4" s="26" t="s">
        <v>13</v>
      </c>
      <c r="D4" s="27">
        <v>1.5</v>
      </c>
      <c r="E4" s="35" t="s">
        <v>85</v>
      </c>
      <c r="F4" s="26" t="s">
        <v>14</v>
      </c>
      <c r="G4" s="35">
        <v>20</v>
      </c>
      <c r="H4" s="35">
        <v>200</v>
      </c>
      <c r="I4" s="29" t="s">
        <v>86</v>
      </c>
    </row>
    <row r="5" spans="1:9" ht="21.75" customHeight="1" x14ac:dyDescent="0.25">
      <c r="A5" s="28" t="s">
        <v>87</v>
      </c>
      <c r="B5" s="26" t="s">
        <v>18</v>
      </c>
      <c r="C5" s="26" t="s">
        <v>13</v>
      </c>
      <c r="D5" s="27">
        <v>12</v>
      </c>
      <c r="E5" s="35" t="s">
        <v>85</v>
      </c>
      <c r="F5" s="26" t="s">
        <v>14</v>
      </c>
      <c r="G5" s="35">
        <v>5</v>
      </c>
      <c r="H5" s="35">
        <v>50</v>
      </c>
      <c r="I5" s="29" t="s">
        <v>88</v>
      </c>
    </row>
    <row r="6" spans="1:9" x14ac:dyDescent="0.25">
      <c r="A6" s="28" t="s">
        <v>89</v>
      </c>
      <c r="B6" s="26" t="s">
        <v>19</v>
      </c>
      <c r="C6" s="26" t="s">
        <v>13</v>
      </c>
      <c r="D6" s="27">
        <v>25</v>
      </c>
      <c r="E6" s="35" t="s">
        <v>90</v>
      </c>
      <c r="F6" s="26" t="s">
        <v>20</v>
      </c>
      <c r="G6" s="35">
        <v>10</v>
      </c>
      <c r="H6" s="35">
        <v>200</v>
      </c>
      <c r="I6" s="29" t="s">
        <v>91</v>
      </c>
    </row>
    <row r="7" spans="1:9" ht="15.75" customHeight="1" x14ac:dyDescent="0.25">
      <c r="A7" s="28" t="s">
        <v>92</v>
      </c>
      <c r="B7" s="26" t="s">
        <v>50</v>
      </c>
      <c r="C7" s="26" t="s">
        <v>13</v>
      </c>
      <c r="D7" s="27">
        <v>0.8</v>
      </c>
      <c r="E7" s="35" t="s">
        <v>85</v>
      </c>
      <c r="F7" s="26" t="s">
        <v>93</v>
      </c>
      <c r="G7" s="35">
        <v>20</v>
      </c>
      <c r="H7" s="35">
        <v>150</v>
      </c>
      <c r="I7" s="29" t="s">
        <v>94</v>
      </c>
    </row>
    <row r="8" spans="1:9" ht="17.25" customHeight="1" x14ac:dyDescent="0.25">
      <c r="A8" s="28" t="s">
        <v>95</v>
      </c>
      <c r="B8" s="26" t="s">
        <v>96</v>
      </c>
      <c r="C8" s="26" t="s">
        <v>13</v>
      </c>
      <c r="D8" s="27">
        <v>1.2</v>
      </c>
      <c r="E8" s="35" t="s">
        <v>85</v>
      </c>
      <c r="F8" s="26" t="s">
        <v>93</v>
      </c>
      <c r="G8" s="35">
        <v>10</v>
      </c>
      <c r="H8" s="35">
        <v>100</v>
      </c>
      <c r="I8" s="29" t="s">
        <v>97</v>
      </c>
    </row>
    <row r="9" spans="1:9" ht="21.75" customHeight="1" x14ac:dyDescent="0.25">
      <c r="A9" s="28" t="s">
        <v>98</v>
      </c>
      <c r="B9" s="26" t="s">
        <v>99</v>
      </c>
      <c r="C9" s="26" t="s">
        <v>13</v>
      </c>
      <c r="D9" s="27">
        <v>3.5</v>
      </c>
      <c r="E9" s="35" t="s">
        <v>85</v>
      </c>
      <c r="F9" s="26" t="s">
        <v>20</v>
      </c>
      <c r="G9" s="35">
        <v>15</v>
      </c>
      <c r="H9" s="35">
        <v>120</v>
      </c>
      <c r="I9" s="29" t="s">
        <v>100</v>
      </c>
    </row>
    <row r="10" spans="1:9" x14ac:dyDescent="0.25">
      <c r="A10" s="28" t="s">
        <v>101</v>
      </c>
      <c r="B10" s="26" t="s">
        <v>102</v>
      </c>
      <c r="C10" s="26" t="s">
        <v>13</v>
      </c>
      <c r="D10" s="27">
        <v>5</v>
      </c>
      <c r="E10" s="35" t="s">
        <v>85</v>
      </c>
      <c r="F10" s="26" t="s">
        <v>14</v>
      </c>
      <c r="G10" s="35">
        <v>10</v>
      </c>
      <c r="H10" s="35">
        <v>80</v>
      </c>
      <c r="I10" s="29" t="s">
        <v>103</v>
      </c>
    </row>
    <row r="11" spans="1:9" x14ac:dyDescent="0.25">
      <c r="A11" s="28" t="s">
        <v>104</v>
      </c>
      <c r="B11" s="26" t="s">
        <v>34</v>
      </c>
      <c r="C11" s="26" t="s">
        <v>13</v>
      </c>
      <c r="D11" s="27">
        <v>25</v>
      </c>
      <c r="E11" s="35" t="s">
        <v>85</v>
      </c>
      <c r="F11" s="26" t="s">
        <v>20</v>
      </c>
      <c r="G11" s="35">
        <v>5</v>
      </c>
      <c r="H11" s="35">
        <v>50</v>
      </c>
      <c r="I11" s="29" t="s">
        <v>105</v>
      </c>
    </row>
    <row r="12" spans="1:9" x14ac:dyDescent="0.25">
      <c r="A12" s="28" t="s">
        <v>106</v>
      </c>
      <c r="B12" s="26" t="s">
        <v>107</v>
      </c>
      <c r="C12" s="26" t="s">
        <v>13</v>
      </c>
      <c r="D12" s="27">
        <v>8</v>
      </c>
      <c r="E12" s="35" t="s">
        <v>108</v>
      </c>
      <c r="F12" s="26" t="s">
        <v>93</v>
      </c>
      <c r="G12" s="35">
        <v>5</v>
      </c>
      <c r="H12" s="35">
        <v>60</v>
      </c>
      <c r="I12" s="29" t="s">
        <v>109</v>
      </c>
    </row>
    <row r="13" spans="1:9" x14ac:dyDescent="0.25">
      <c r="A13" s="28" t="s">
        <v>110</v>
      </c>
      <c r="B13" s="26" t="s">
        <v>111</v>
      </c>
      <c r="C13" s="26" t="s">
        <v>13</v>
      </c>
      <c r="D13" s="27">
        <v>4</v>
      </c>
      <c r="E13" s="35" t="s">
        <v>85</v>
      </c>
      <c r="F13" s="26" t="s">
        <v>20</v>
      </c>
      <c r="G13" s="35">
        <v>10</v>
      </c>
      <c r="H13" s="35">
        <v>100</v>
      </c>
      <c r="I13" s="29" t="s">
        <v>112</v>
      </c>
    </row>
    <row r="14" spans="1:9" x14ac:dyDescent="0.25">
      <c r="A14" s="28" t="s">
        <v>113</v>
      </c>
      <c r="B14" s="26" t="s">
        <v>114</v>
      </c>
      <c r="C14" s="26" t="s">
        <v>13</v>
      </c>
      <c r="D14" s="27">
        <v>2.5</v>
      </c>
      <c r="E14" s="35" t="s">
        <v>85</v>
      </c>
      <c r="F14" s="26" t="s">
        <v>14</v>
      </c>
      <c r="G14" s="35">
        <v>10</v>
      </c>
      <c r="H14" s="35">
        <v>100</v>
      </c>
      <c r="I14" s="29" t="s">
        <v>103</v>
      </c>
    </row>
    <row r="15" spans="1:9" x14ac:dyDescent="0.25">
      <c r="A15" s="28" t="s">
        <v>115</v>
      </c>
      <c r="B15" s="26" t="s">
        <v>116</v>
      </c>
      <c r="C15" s="26" t="s">
        <v>13</v>
      </c>
      <c r="D15" s="27">
        <v>1.8</v>
      </c>
      <c r="E15" s="35" t="s">
        <v>85</v>
      </c>
      <c r="F15" s="26" t="s">
        <v>93</v>
      </c>
      <c r="G15" s="35">
        <v>10</v>
      </c>
      <c r="H15" s="35">
        <v>80</v>
      </c>
      <c r="I15" s="29" t="s">
        <v>117</v>
      </c>
    </row>
    <row r="16" spans="1:9" x14ac:dyDescent="0.25">
      <c r="A16" s="28" t="s">
        <v>118</v>
      </c>
      <c r="B16" s="26" t="s">
        <v>30</v>
      </c>
      <c r="C16" s="26" t="s">
        <v>13</v>
      </c>
      <c r="D16" s="27">
        <v>3</v>
      </c>
      <c r="E16" s="35" t="s">
        <v>85</v>
      </c>
      <c r="F16" s="26" t="s">
        <v>20</v>
      </c>
      <c r="G16" s="35">
        <v>15</v>
      </c>
      <c r="H16" s="35">
        <v>120</v>
      </c>
      <c r="I16" s="29" t="s">
        <v>119</v>
      </c>
    </row>
    <row r="17" spans="1:9" x14ac:dyDescent="0.25">
      <c r="A17" s="28" t="s">
        <v>120</v>
      </c>
      <c r="B17" s="26" t="s">
        <v>52</v>
      </c>
      <c r="C17" s="26" t="s">
        <v>13</v>
      </c>
      <c r="D17" s="27">
        <v>5.5</v>
      </c>
      <c r="E17" s="35" t="s">
        <v>85</v>
      </c>
      <c r="F17" s="26" t="s">
        <v>14</v>
      </c>
      <c r="G17" s="35">
        <v>5</v>
      </c>
      <c r="H17" s="35">
        <v>50</v>
      </c>
      <c r="I17" s="29" t="s">
        <v>97</v>
      </c>
    </row>
    <row r="18" spans="1:9" x14ac:dyDescent="0.25">
      <c r="A18" s="28" t="s">
        <v>121</v>
      </c>
      <c r="B18" s="26" t="s">
        <v>122</v>
      </c>
      <c r="C18" s="26" t="s">
        <v>13</v>
      </c>
      <c r="D18" s="27">
        <v>6</v>
      </c>
      <c r="E18" s="35" t="s">
        <v>123</v>
      </c>
      <c r="F18" s="26" t="s">
        <v>93</v>
      </c>
      <c r="G18" s="35">
        <v>10</v>
      </c>
      <c r="H18" s="35">
        <v>60</v>
      </c>
      <c r="I18" s="29" t="s">
        <v>100</v>
      </c>
    </row>
    <row r="19" spans="1:9" x14ac:dyDescent="0.25">
      <c r="A19" s="28" t="s">
        <v>124</v>
      </c>
      <c r="B19" s="26" t="s">
        <v>125</v>
      </c>
      <c r="C19" s="26" t="s">
        <v>13</v>
      </c>
      <c r="D19" s="27">
        <v>4.5</v>
      </c>
      <c r="E19" s="35" t="s">
        <v>85</v>
      </c>
      <c r="F19" s="26" t="s">
        <v>20</v>
      </c>
      <c r="G19" s="35">
        <v>10</v>
      </c>
      <c r="H19" s="35">
        <v>100</v>
      </c>
      <c r="I19" s="29" t="s">
        <v>126</v>
      </c>
    </row>
    <row r="20" spans="1:9" x14ac:dyDescent="0.25">
      <c r="A20" s="28" t="s">
        <v>127</v>
      </c>
      <c r="B20" s="26" t="s">
        <v>59</v>
      </c>
      <c r="C20" s="26" t="s">
        <v>13</v>
      </c>
      <c r="D20" s="27">
        <v>1.5</v>
      </c>
      <c r="E20" s="35" t="s">
        <v>85</v>
      </c>
      <c r="F20" s="26" t="s">
        <v>14</v>
      </c>
      <c r="G20" s="35">
        <v>20</v>
      </c>
      <c r="H20" s="35">
        <v>200</v>
      </c>
      <c r="I20" s="29" t="s">
        <v>128</v>
      </c>
    </row>
    <row r="21" spans="1:9" x14ac:dyDescent="0.25">
      <c r="A21" s="28" t="s">
        <v>129</v>
      </c>
      <c r="B21" s="26" t="s">
        <v>130</v>
      </c>
      <c r="C21" s="26" t="s">
        <v>13</v>
      </c>
      <c r="D21" s="27">
        <v>18</v>
      </c>
      <c r="E21" s="35" t="s">
        <v>85</v>
      </c>
      <c r="F21" s="26" t="s">
        <v>14</v>
      </c>
      <c r="G21" s="35">
        <v>5</v>
      </c>
      <c r="H21" s="35">
        <v>50</v>
      </c>
      <c r="I21" s="29" t="s">
        <v>88</v>
      </c>
    </row>
    <row r="22" spans="1:9" x14ac:dyDescent="0.25">
      <c r="A22" s="28" t="s">
        <v>131</v>
      </c>
      <c r="B22" s="26" t="s">
        <v>64</v>
      </c>
      <c r="C22" s="26" t="s">
        <v>13</v>
      </c>
      <c r="D22" s="27">
        <v>7</v>
      </c>
      <c r="E22" s="35" t="s">
        <v>85</v>
      </c>
      <c r="F22" s="26" t="s">
        <v>20</v>
      </c>
      <c r="G22" s="35">
        <v>5</v>
      </c>
      <c r="H22" s="35">
        <v>60</v>
      </c>
      <c r="I22" s="29" t="s">
        <v>132</v>
      </c>
    </row>
    <row r="23" spans="1:9" x14ac:dyDescent="0.25">
      <c r="A23" s="28" t="s">
        <v>133</v>
      </c>
      <c r="B23" s="26" t="s">
        <v>37</v>
      </c>
      <c r="C23" s="26" t="s">
        <v>13</v>
      </c>
      <c r="D23" s="27">
        <v>0.5</v>
      </c>
      <c r="E23" s="35" t="s">
        <v>85</v>
      </c>
      <c r="F23" s="26" t="s">
        <v>93</v>
      </c>
      <c r="G23" s="35">
        <v>50</v>
      </c>
      <c r="H23" s="35">
        <v>500</v>
      </c>
      <c r="I23" s="29" t="s">
        <v>91</v>
      </c>
    </row>
    <row r="24" spans="1:9" x14ac:dyDescent="0.25">
      <c r="A24" s="28" t="s">
        <v>134</v>
      </c>
      <c r="B24" s="26" t="s">
        <v>135</v>
      </c>
      <c r="C24" s="26" t="s">
        <v>13</v>
      </c>
      <c r="D24" s="27">
        <v>1.5</v>
      </c>
      <c r="E24" s="35" t="s">
        <v>85</v>
      </c>
      <c r="F24" s="26" t="s">
        <v>14</v>
      </c>
      <c r="G24" s="35">
        <v>20</v>
      </c>
      <c r="H24" s="35">
        <v>200</v>
      </c>
      <c r="I24" s="29" t="s">
        <v>136</v>
      </c>
    </row>
    <row r="25" spans="1:9" ht="30" x14ac:dyDescent="0.25">
      <c r="A25" s="28" t="s">
        <v>137</v>
      </c>
      <c r="B25" s="26" t="s">
        <v>138</v>
      </c>
      <c r="C25" s="26" t="s">
        <v>13</v>
      </c>
      <c r="D25" s="27">
        <v>4</v>
      </c>
      <c r="E25" s="35" t="s">
        <v>85</v>
      </c>
      <c r="F25" s="26" t="s">
        <v>20</v>
      </c>
      <c r="G25" s="35">
        <v>10</v>
      </c>
      <c r="H25" s="35">
        <v>100</v>
      </c>
      <c r="I25" s="29" t="s">
        <v>139</v>
      </c>
    </row>
    <row r="26" spans="1:9" x14ac:dyDescent="0.25">
      <c r="A26" s="28" t="s">
        <v>140</v>
      </c>
      <c r="B26" s="26" t="s">
        <v>141</v>
      </c>
      <c r="C26" s="26" t="s">
        <v>13</v>
      </c>
      <c r="D26" s="27">
        <v>8</v>
      </c>
      <c r="E26" s="35" t="s">
        <v>85</v>
      </c>
      <c r="F26" s="26" t="s">
        <v>93</v>
      </c>
      <c r="G26" s="35">
        <v>5</v>
      </c>
      <c r="H26" s="35">
        <v>50</v>
      </c>
      <c r="I26" s="29" t="s">
        <v>142</v>
      </c>
    </row>
    <row r="27" spans="1:9" x14ac:dyDescent="0.25">
      <c r="A27" s="28" t="s">
        <v>143</v>
      </c>
      <c r="B27" s="26" t="s">
        <v>144</v>
      </c>
      <c r="C27" s="26" t="s">
        <v>13</v>
      </c>
      <c r="D27" s="27">
        <v>9</v>
      </c>
      <c r="E27" s="35" t="s">
        <v>108</v>
      </c>
      <c r="F27" s="26" t="s">
        <v>14</v>
      </c>
      <c r="G27" s="35">
        <v>5</v>
      </c>
      <c r="H27" s="35">
        <v>60</v>
      </c>
      <c r="I27" s="29" t="s">
        <v>145</v>
      </c>
    </row>
    <row r="28" spans="1:9" x14ac:dyDescent="0.25">
      <c r="A28" s="28" t="s">
        <v>146</v>
      </c>
      <c r="B28" s="26" t="s">
        <v>147</v>
      </c>
      <c r="C28" s="26" t="s">
        <v>13</v>
      </c>
      <c r="D28" s="27">
        <v>3.5</v>
      </c>
      <c r="E28" s="35" t="s">
        <v>85</v>
      </c>
      <c r="F28" s="26" t="s">
        <v>20</v>
      </c>
      <c r="G28" s="35">
        <v>10</v>
      </c>
      <c r="H28" s="35">
        <v>100</v>
      </c>
      <c r="I28" s="29" t="s">
        <v>148</v>
      </c>
    </row>
    <row r="29" spans="1:9" x14ac:dyDescent="0.25">
      <c r="A29" s="28" t="s">
        <v>149</v>
      </c>
      <c r="B29" s="26" t="s">
        <v>150</v>
      </c>
      <c r="C29" s="26" t="s">
        <v>13</v>
      </c>
      <c r="D29" s="27">
        <v>10</v>
      </c>
      <c r="E29" s="35" t="s">
        <v>151</v>
      </c>
      <c r="F29" s="26" t="s">
        <v>93</v>
      </c>
      <c r="G29" s="35">
        <v>5</v>
      </c>
      <c r="H29" s="35">
        <v>50</v>
      </c>
      <c r="I29" s="29" t="s">
        <v>152</v>
      </c>
    </row>
    <row r="30" spans="1:9" x14ac:dyDescent="0.25">
      <c r="A30" s="28" t="s">
        <v>153</v>
      </c>
      <c r="B30" s="26" t="s">
        <v>154</v>
      </c>
      <c r="C30" s="26" t="s">
        <v>13</v>
      </c>
      <c r="D30" s="27">
        <v>1.5</v>
      </c>
      <c r="E30" s="35" t="s">
        <v>85</v>
      </c>
      <c r="F30" s="26" t="s">
        <v>14</v>
      </c>
      <c r="G30" s="35">
        <v>20</v>
      </c>
      <c r="H30" s="35">
        <v>200</v>
      </c>
      <c r="I30" s="29" t="s">
        <v>155</v>
      </c>
    </row>
    <row r="31" spans="1:9" x14ac:dyDescent="0.25">
      <c r="A31" s="28" t="s">
        <v>156</v>
      </c>
      <c r="B31" s="26" t="s">
        <v>157</v>
      </c>
      <c r="C31" s="26" t="s">
        <v>13</v>
      </c>
      <c r="D31" s="27">
        <v>15</v>
      </c>
      <c r="E31" s="35" t="s">
        <v>85</v>
      </c>
      <c r="F31" s="26" t="s">
        <v>20</v>
      </c>
      <c r="G31" s="35">
        <v>5</v>
      </c>
      <c r="H31" s="35">
        <v>50</v>
      </c>
      <c r="I31" s="29" t="s">
        <v>88</v>
      </c>
    </row>
    <row r="32" spans="1:9" x14ac:dyDescent="0.25">
      <c r="A32" s="28" t="s">
        <v>158</v>
      </c>
      <c r="B32" s="26" t="s">
        <v>159</v>
      </c>
      <c r="C32" s="26" t="s">
        <v>13</v>
      </c>
      <c r="D32" s="27">
        <v>3.5</v>
      </c>
      <c r="E32" s="35" t="s">
        <v>85</v>
      </c>
      <c r="F32" s="26" t="s">
        <v>93</v>
      </c>
      <c r="G32" s="35">
        <v>10</v>
      </c>
      <c r="H32" s="35">
        <v>100</v>
      </c>
      <c r="I32" s="29" t="s">
        <v>126</v>
      </c>
    </row>
    <row r="33" spans="1:9" x14ac:dyDescent="0.25">
      <c r="A33" s="28" t="s">
        <v>160</v>
      </c>
      <c r="B33" s="26" t="s">
        <v>161</v>
      </c>
      <c r="C33" s="26" t="s">
        <v>13</v>
      </c>
      <c r="D33" s="27">
        <v>3</v>
      </c>
      <c r="E33" s="35" t="s">
        <v>85</v>
      </c>
      <c r="F33" s="26" t="s">
        <v>14</v>
      </c>
      <c r="G33" s="35">
        <v>5</v>
      </c>
      <c r="H33" s="35">
        <v>50</v>
      </c>
      <c r="I33" s="29" t="s">
        <v>152</v>
      </c>
    </row>
    <row r="34" spans="1:9" x14ac:dyDescent="0.25">
      <c r="A34" s="28" t="s">
        <v>162</v>
      </c>
      <c r="B34" s="26" t="s">
        <v>163</v>
      </c>
      <c r="C34" s="26" t="s">
        <v>13</v>
      </c>
      <c r="D34" s="27">
        <v>2.5</v>
      </c>
      <c r="E34" s="35" t="s">
        <v>85</v>
      </c>
      <c r="F34" s="26" t="s">
        <v>20</v>
      </c>
      <c r="G34" s="35">
        <v>10</v>
      </c>
      <c r="H34" s="35">
        <v>80</v>
      </c>
      <c r="I34" s="29" t="s">
        <v>117</v>
      </c>
    </row>
    <row r="35" spans="1:9" ht="30" x14ac:dyDescent="0.25">
      <c r="A35" s="28" t="s">
        <v>164</v>
      </c>
      <c r="B35" s="26" t="s">
        <v>165</v>
      </c>
      <c r="C35" s="26" t="s">
        <v>13</v>
      </c>
      <c r="D35" s="27">
        <v>5.5</v>
      </c>
      <c r="E35" s="35" t="s">
        <v>85</v>
      </c>
      <c r="F35" s="26" t="s">
        <v>14</v>
      </c>
      <c r="G35" s="35">
        <v>10</v>
      </c>
      <c r="H35" s="35">
        <v>80</v>
      </c>
      <c r="I35" s="29" t="s">
        <v>128</v>
      </c>
    </row>
    <row r="36" spans="1:9" x14ac:dyDescent="0.25">
      <c r="A36" s="28" t="s">
        <v>166</v>
      </c>
      <c r="B36" s="26" t="s">
        <v>167</v>
      </c>
      <c r="C36" s="26" t="s">
        <v>13</v>
      </c>
      <c r="D36" s="27">
        <v>2.5</v>
      </c>
      <c r="E36" s="35" t="s">
        <v>85</v>
      </c>
      <c r="F36" s="26" t="s">
        <v>93</v>
      </c>
      <c r="G36" s="35">
        <v>10</v>
      </c>
      <c r="H36" s="35">
        <v>100</v>
      </c>
      <c r="I36" s="29" t="s">
        <v>168</v>
      </c>
    </row>
    <row r="37" spans="1:9" x14ac:dyDescent="0.25">
      <c r="A37" s="28" t="s">
        <v>169</v>
      </c>
      <c r="B37" s="26" t="s">
        <v>170</v>
      </c>
      <c r="C37" s="26" t="s">
        <v>13</v>
      </c>
      <c r="D37" s="27">
        <v>7</v>
      </c>
      <c r="E37" s="35" t="s">
        <v>85</v>
      </c>
      <c r="F37" s="26" t="s">
        <v>20</v>
      </c>
      <c r="G37" s="35">
        <v>5</v>
      </c>
      <c r="H37" s="35">
        <v>50</v>
      </c>
      <c r="I37" s="29" t="s">
        <v>97</v>
      </c>
    </row>
    <row r="38" spans="1:9" x14ac:dyDescent="0.25">
      <c r="A38" s="28" t="s">
        <v>171</v>
      </c>
      <c r="B38" s="26" t="s">
        <v>172</v>
      </c>
      <c r="C38" s="26" t="s">
        <v>13</v>
      </c>
      <c r="D38" s="27">
        <v>8</v>
      </c>
      <c r="E38" s="35" t="s">
        <v>123</v>
      </c>
      <c r="F38" s="26" t="s">
        <v>14</v>
      </c>
      <c r="G38" s="35">
        <v>10</v>
      </c>
      <c r="H38" s="35">
        <v>60</v>
      </c>
      <c r="I38" s="29" t="s">
        <v>173</v>
      </c>
    </row>
    <row r="39" spans="1:9" x14ac:dyDescent="0.25">
      <c r="A39" s="28" t="s">
        <v>174</v>
      </c>
      <c r="B39" s="26" t="s">
        <v>175</v>
      </c>
      <c r="C39" s="26" t="s">
        <v>13</v>
      </c>
      <c r="D39" s="27">
        <v>4</v>
      </c>
      <c r="E39" s="35" t="s">
        <v>85</v>
      </c>
      <c r="F39" s="26" t="s">
        <v>93</v>
      </c>
      <c r="G39" s="35">
        <v>10</v>
      </c>
      <c r="H39" s="35">
        <v>100</v>
      </c>
      <c r="I39" s="29" t="s">
        <v>126</v>
      </c>
    </row>
    <row r="40" spans="1:9" x14ac:dyDescent="0.25">
      <c r="A40" s="28" t="s">
        <v>176</v>
      </c>
      <c r="B40" s="26" t="s">
        <v>177</v>
      </c>
      <c r="C40" s="26" t="s">
        <v>13</v>
      </c>
      <c r="D40" s="27">
        <v>1.5</v>
      </c>
      <c r="E40" s="35" t="s">
        <v>85</v>
      </c>
      <c r="F40" s="26" t="s">
        <v>20</v>
      </c>
      <c r="G40" s="35">
        <v>20</v>
      </c>
      <c r="H40" s="35">
        <v>200</v>
      </c>
      <c r="I40" s="29" t="s">
        <v>178</v>
      </c>
    </row>
    <row r="41" spans="1:9" x14ac:dyDescent="0.25">
      <c r="A41" s="28" t="s">
        <v>179</v>
      </c>
      <c r="B41" s="26" t="s">
        <v>180</v>
      </c>
      <c r="C41" s="26" t="s">
        <v>13</v>
      </c>
      <c r="D41" s="27">
        <v>22</v>
      </c>
      <c r="E41" s="35" t="s">
        <v>85</v>
      </c>
      <c r="F41" s="26" t="s">
        <v>14</v>
      </c>
      <c r="G41" s="35">
        <v>5</v>
      </c>
      <c r="H41" s="35">
        <v>50</v>
      </c>
      <c r="I41" s="29" t="s">
        <v>88</v>
      </c>
    </row>
    <row r="42" spans="1:9" x14ac:dyDescent="0.25">
      <c r="A42" s="28" t="s">
        <v>181</v>
      </c>
      <c r="B42" s="26" t="s">
        <v>182</v>
      </c>
      <c r="C42" s="26" t="s">
        <v>13</v>
      </c>
      <c r="D42" s="27">
        <v>7.5</v>
      </c>
      <c r="E42" s="35" t="s">
        <v>85</v>
      </c>
      <c r="F42" s="26" t="s">
        <v>20</v>
      </c>
      <c r="G42" s="35">
        <v>5</v>
      </c>
      <c r="H42" s="35">
        <v>60</v>
      </c>
      <c r="I42" s="29" t="s">
        <v>183</v>
      </c>
    </row>
    <row r="43" spans="1:9" x14ac:dyDescent="0.25">
      <c r="A43" s="28" t="s">
        <v>184</v>
      </c>
      <c r="B43" s="26" t="s">
        <v>185</v>
      </c>
      <c r="C43" s="26" t="s">
        <v>13</v>
      </c>
      <c r="D43" s="27">
        <v>0.6</v>
      </c>
      <c r="E43" s="35" t="s">
        <v>85</v>
      </c>
      <c r="F43" s="26" t="s">
        <v>93</v>
      </c>
      <c r="G43" s="35">
        <v>50</v>
      </c>
      <c r="H43" s="35">
        <v>500</v>
      </c>
      <c r="I43" s="29" t="s">
        <v>168</v>
      </c>
    </row>
    <row r="44" spans="1:9" x14ac:dyDescent="0.25">
      <c r="A44" s="28" t="s">
        <v>186</v>
      </c>
      <c r="B44" s="26" t="s">
        <v>187</v>
      </c>
      <c r="C44" s="26" t="s">
        <v>13</v>
      </c>
      <c r="D44" s="27">
        <v>1.5</v>
      </c>
      <c r="E44" s="35" t="s">
        <v>85</v>
      </c>
      <c r="F44" s="26" t="s">
        <v>14</v>
      </c>
      <c r="G44" s="35">
        <v>20</v>
      </c>
      <c r="H44" s="35">
        <v>200</v>
      </c>
      <c r="I44" s="29" t="s">
        <v>188</v>
      </c>
    </row>
    <row r="45" spans="1:9" x14ac:dyDescent="0.25">
      <c r="A45" s="28" t="s">
        <v>189</v>
      </c>
      <c r="B45" s="26" t="s">
        <v>190</v>
      </c>
      <c r="C45" s="26" t="s">
        <v>13</v>
      </c>
      <c r="D45" s="27">
        <v>4</v>
      </c>
      <c r="E45" s="35" t="s">
        <v>85</v>
      </c>
      <c r="F45" s="26" t="s">
        <v>20</v>
      </c>
      <c r="G45" s="35">
        <v>10</v>
      </c>
      <c r="H45" s="35">
        <v>100</v>
      </c>
      <c r="I45" s="29" t="s">
        <v>183</v>
      </c>
    </row>
    <row r="46" spans="1:9" x14ac:dyDescent="0.25">
      <c r="A46" s="28" t="s">
        <v>191</v>
      </c>
      <c r="B46" s="26" t="s">
        <v>192</v>
      </c>
      <c r="C46" s="26" t="s">
        <v>13</v>
      </c>
      <c r="D46" s="27">
        <v>10</v>
      </c>
      <c r="E46" s="35" t="s">
        <v>85</v>
      </c>
      <c r="F46" s="26" t="s">
        <v>93</v>
      </c>
      <c r="G46" s="35">
        <v>5</v>
      </c>
      <c r="H46" s="35">
        <v>50</v>
      </c>
      <c r="I46" s="29" t="s">
        <v>142</v>
      </c>
    </row>
    <row r="47" spans="1:9" x14ac:dyDescent="0.25">
      <c r="A47" s="28" t="s">
        <v>193</v>
      </c>
      <c r="B47" s="26" t="s">
        <v>194</v>
      </c>
      <c r="C47" s="26" t="s">
        <v>13</v>
      </c>
      <c r="D47" s="27">
        <v>7</v>
      </c>
      <c r="E47" s="35" t="s">
        <v>108</v>
      </c>
      <c r="F47" s="26" t="s">
        <v>14</v>
      </c>
      <c r="G47" s="35">
        <v>5</v>
      </c>
      <c r="H47" s="35">
        <v>60</v>
      </c>
      <c r="I47" s="29" t="s">
        <v>109</v>
      </c>
    </row>
    <row r="48" spans="1:9" x14ac:dyDescent="0.25">
      <c r="A48" s="28" t="s">
        <v>195</v>
      </c>
      <c r="B48" s="26" t="s">
        <v>196</v>
      </c>
      <c r="C48" s="26" t="s">
        <v>13</v>
      </c>
      <c r="D48" s="27">
        <v>12</v>
      </c>
      <c r="E48" s="35" t="s">
        <v>85</v>
      </c>
      <c r="F48" s="26" t="s">
        <v>20</v>
      </c>
      <c r="G48" s="35">
        <v>5</v>
      </c>
      <c r="H48" s="35">
        <v>50</v>
      </c>
      <c r="I48" s="29" t="s">
        <v>197</v>
      </c>
    </row>
    <row r="49" spans="1:9" x14ac:dyDescent="0.25">
      <c r="A49" s="28" t="s">
        <v>198</v>
      </c>
      <c r="B49" s="26" t="s">
        <v>199</v>
      </c>
      <c r="C49" s="26" t="s">
        <v>13</v>
      </c>
      <c r="D49" s="27">
        <v>0.8</v>
      </c>
      <c r="E49" s="35" t="s">
        <v>85</v>
      </c>
      <c r="F49" s="26" t="s">
        <v>93</v>
      </c>
      <c r="G49" s="35">
        <v>20</v>
      </c>
      <c r="H49" s="35">
        <v>150</v>
      </c>
      <c r="I49" s="29" t="s">
        <v>200</v>
      </c>
    </row>
    <row r="50" spans="1:9" x14ac:dyDescent="0.25">
      <c r="A50" s="28" t="s">
        <v>201</v>
      </c>
      <c r="B50" s="26" t="s">
        <v>202</v>
      </c>
      <c r="C50" s="26" t="s">
        <v>13</v>
      </c>
      <c r="D50" s="27">
        <v>2.5</v>
      </c>
      <c r="E50" s="35" t="s">
        <v>85</v>
      </c>
      <c r="F50" s="26" t="s">
        <v>14</v>
      </c>
      <c r="G50" s="35">
        <v>20</v>
      </c>
      <c r="H50" s="35">
        <v>200</v>
      </c>
      <c r="I50" s="29" t="s">
        <v>203</v>
      </c>
    </row>
    <row r="51" spans="1:9" x14ac:dyDescent="0.25">
      <c r="A51" s="28" t="s">
        <v>204</v>
      </c>
      <c r="B51" s="26" t="s">
        <v>205</v>
      </c>
      <c r="C51" s="26" t="s">
        <v>13</v>
      </c>
      <c r="D51" s="27">
        <v>20</v>
      </c>
      <c r="E51" s="35" t="s">
        <v>85</v>
      </c>
      <c r="F51" s="26" t="s">
        <v>20</v>
      </c>
      <c r="G51" s="35">
        <v>5</v>
      </c>
      <c r="H51" s="35">
        <v>50</v>
      </c>
      <c r="I51" s="29" t="s">
        <v>88</v>
      </c>
    </row>
    <row r="52" spans="1:9" x14ac:dyDescent="0.25">
      <c r="A52" s="28" t="s">
        <v>206</v>
      </c>
      <c r="B52" s="26" t="s">
        <v>207</v>
      </c>
      <c r="C52" s="26" t="s">
        <v>13</v>
      </c>
      <c r="D52" s="27">
        <v>3.5</v>
      </c>
      <c r="E52" s="35" t="s">
        <v>85</v>
      </c>
      <c r="F52" s="26" t="s">
        <v>93</v>
      </c>
      <c r="G52" s="35">
        <v>10</v>
      </c>
      <c r="H52" s="35">
        <v>100</v>
      </c>
      <c r="I52" s="29" t="s">
        <v>126</v>
      </c>
    </row>
    <row r="53" spans="1:9" x14ac:dyDescent="0.25">
      <c r="A53" s="31" t="s">
        <v>208</v>
      </c>
      <c r="B53" s="32" t="s">
        <v>209</v>
      </c>
      <c r="C53" s="32" t="s">
        <v>13</v>
      </c>
      <c r="D53" s="33">
        <v>4</v>
      </c>
      <c r="E53" s="36" t="s">
        <v>85</v>
      </c>
      <c r="F53" s="32" t="s">
        <v>20</v>
      </c>
      <c r="G53" s="36">
        <v>10</v>
      </c>
      <c r="H53" s="36">
        <v>100</v>
      </c>
      <c r="I53" s="34" t="s">
        <v>126</v>
      </c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D7072-6130-4394-BB75-8E2A3BCAEE3E}">
  <dimension ref="A1:I16"/>
  <sheetViews>
    <sheetView workbookViewId="0">
      <selection activeCell="B8" sqref="B8"/>
    </sheetView>
  </sheetViews>
  <sheetFormatPr defaultRowHeight="15" x14ac:dyDescent="0.25"/>
  <cols>
    <col min="1" max="1" width="21.140625" customWidth="1"/>
    <col min="2" max="2" width="19.140625" customWidth="1"/>
    <col min="3" max="3" width="2.85546875" customWidth="1"/>
    <col min="4" max="4" width="29" customWidth="1"/>
    <col min="5" max="5" width="14" bestFit="1" customWidth="1"/>
    <col min="6" max="6" width="12.85546875" customWidth="1"/>
    <col min="7" max="7" width="2.42578125" customWidth="1"/>
    <col min="8" max="8" width="28" customWidth="1"/>
    <col min="9" max="9" width="15.5703125" customWidth="1"/>
  </cols>
  <sheetData>
    <row r="1" spans="1:9" s="56" customFormat="1" ht="46.5" x14ac:dyDescent="0.7">
      <c r="A1" s="55" t="s">
        <v>210</v>
      </c>
    </row>
    <row r="2" spans="1:9" s="57" customFormat="1" ht="7.5" customHeight="1" x14ac:dyDescent="0.25"/>
    <row r="3" spans="1:9" ht="18.75" x14ac:dyDescent="0.3">
      <c r="A3" s="60" t="s">
        <v>220</v>
      </c>
      <c r="B3" s="60"/>
      <c r="D3" s="61" t="s">
        <v>221</v>
      </c>
      <c r="E3" s="61"/>
      <c r="F3" s="61"/>
      <c r="H3" s="62" t="s">
        <v>219</v>
      </c>
      <c r="I3" s="63"/>
    </row>
    <row r="4" spans="1:9" ht="15.75" x14ac:dyDescent="0.25">
      <c r="A4" s="58" t="s">
        <v>211</v>
      </c>
      <c r="B4" s="59" t="s">
        <v>212</v>
      </c>
      <c r="D4" s="2" t="s">
        <v>213</v>
      </c>
      <c r="E4" s="47" t="s">
        <v>218</v>
      </c>
      <c r="F4" s="47"/>
      <c r="H4" s="58" t="s">
        <v>211</v>
      </c>
      <c r="I4" s="49">
        <v>1993</v>
      </c>
    </row>
    <row r="5" spans="1:9" ht="15.75" x14ac:dyDescent="0.25">
      <c r="A5" s="2">
        <v>25</v>
      </c>
      <c r="B5" s="2">
        <v>25</v>
      </c>
      <c r="D5" s="44" t="s">
        <v>13</v>
      </c>
      <c r="E5" s="47">
        <v>20</v>
      </c>
      <c r="F5" s="47"/>
      <c r="H5" s="59" t="s">
        <v>212</v>
      </c>
      <c r="I5" s="53">
        <v>398</v>
      </c>
    </row>
    <row r="6" spans="1:9" ht="15.75" x14ac:dyDescent="0.25">
      <c r="D6" s="45" t="s">
        <v>23</v>
      </c>
      <c r="E6" s="47">
        <v>9</v>
      </c>
      <c r="F6" s="47"/>
      <c r="H6" s="48" t="s">
        <v>217</v>
      </c>
      <c r="I6" s="50">
        <f>I4-I5</f>
        <v>1595</v>
      </c>
    </row>
    <row r="7" spans="1:9" x14ac:dyDescent="0.25">
      <c r="D7" s="44" t="s">
        <v>28</v>
      </c>
      <c r="E7" s="47">
        <v>9</v>
      </c>
      <c r="F7" s="47"/>
    </row>
    <row r="8" spans="1:9" x14ac:dyDescent="0.25">
      <c r="D8" s="44" t="s">
        <v>32</v>
      </c>
      <c r="E8" s="47">
        <v>12</v>
      </c>
      <c r="F8" s="47"/>
    </row>
    <row r="9" spans="1:9" ht="18.75" x14ac:dyDescent="0.3">
      <c r="A9" s="64" t="s">
        <v>222</v>
      </c>
      <c r="B9" s="64"/>
      <c r="D9" s="65" t="s">
        <v>229</v>
      </c>
      <c r="E9" s="65"/>
      <c r="F9" s="65"/>
      <c r="H9" s="66" t="s">
        <v>226</v>
      </c>
      <c r="I9" s="66"/>
    </row>
    <row r="10" spans="1:9" ht="15.75" x14ac:dyDescent="0.25">
      <c r="A10" s="58" t="s">
        <v>211</v>
      </c>
      <c r="B10" s="6">
        <v>144668.5</v>
      </c>
      <c r="D10" s="51" t="s">
        <v>224</v>
      </c>
      <c r="E10" s="58" t="s">
        <v>214</v>
      </c>
      <c r="F10" s="59" t="s">
        <v>215</v>
      </c>
      <c r="H10" s="2" t="s">
        <v>227</v>
      </c>
      <c r="I10" s="2" t="s">
        <v>228</v>
      </c>
    </row>
    <row r="11" spans="1:9" ht="15.75" x14ac:dyDescent="0.25">
      <c r="A11" s="59" t="s">
        <v>212</v>
      </c>
      <c r="B11" s="4">
        <v>9773.7000000000007</v>
      </c>
      <c r="D11" s="51" t="s">
        <v>225</v>
      </c>
      <c r="E11" s="4">
        <v>70157</v>
      </c>
      <c r="F11" s="52">
        <v>5251.4</v>
      </c>
      <c r="H11" s="44" t="s">
        <v>67</v>
      </c>
      <c r="I11" s="54">
        <v>28000</v>
      </c>
    </row>
    <row r="12" spans="1:9" ht="15.75" x14ac:dyDescent="0.25">
      <c r="A12" s="2" t="s">
        <v>223</v>
      </c>
      <c r="B12" s="4">
        <v>154442.19999999998</v>
      </c>
      <c r="D12" s="51" t="s">
        <v>216</v>
      </c>
      <c r="E12" s="4">
        <v>74511.5</v>
      </c>
      <c r="F12" s="52">
        <v>4522.3</v>
      </c>
      <c r="H12" s="2" t="s">
        <v>70</v>
      </c>
      <c r="I12" s="52">
        <v>0.3</v>
      </c>
    </row>
    <row r="16" spans="1:9" x14ac:dyDescent="0.25">
      <c r="D16" s="46"/>
    </row>
  </sheetData>
  <mergeCells count="11">
    <mergeCell ref="H9:I9"/>
    <mergeCell ref="H3:I3"/>
    <mergeCell ref="D3:F3"/>
    <mergeCell ref="E4:F4"/>
    <mergeCell ref="E5:F5"/>
    <mergeCell ref="E6:F6"/>
    <mergeCell ref="A3:B3"/>
    <mergeCell ref="A9:B9"/>
    <mergeCell ref="D9:F9"/>
    <mergeCell ref="E7:F7"/>
    <mergeCell ref="E8:F8"/>
  </mergeCells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F937E-19EF-4AF2-B6E3-43ED128FEAF9}">
  <dimension ref="A1:O2"/>
  <sheetViews>
    <sheetView workbookViewId="0">
      <selection activeCell="H33" sqref="H33"/>
    </sheetView>
  </sheetViews>
  <sheetFormatPr defaultRowHeight="15" x14ac:dyDescent="0.25"/>
  <cols>
    <col min="15" max="15" width="45.28515625" customWidth="1"/>
  </cols>
  <sheetData>
    <row r="1" spans="1:15" ht="18.75" x14ac:dyDescent="0.3">
      <c r="A1" s="67" t="s">
        <v>231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</row>
    <row r="2" spans="1:15" ht="21" x14ac:dyDescent="0.35">
      <c r="A2" s="68" t="s">
        <v>230</v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</row>
  </sheetData>
  <mergeCells count="2">
    <mergeCell ref="A1:O1"/>
    <mergeCell ref="A2:O2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Base_dados_Estoque</vt:lpstr>
      <vt:lpstr>Cadastro_Produtos</vt:lpstr>
      <vt:lpstr>Dashboard_Estoque</vt:lpstr>
      <vt:lpstr>OLHA AQUI !!!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LucasOFC 17</dc:creator>
  <cp:lastModifiedBy>LucasOFC 17</cp:lastModifiedBy>
  <cp:lastPrinted>2026-02-22T01:34:21Z</cp:lastPrinted>
  <dcterms:created xsi:type="dcterms:W3CDTF">2026-02-21T23:22:28Z</dcterms:created>
  <dcterms:modified xsi:type="dcterms:W3CDTF">2026-02-22T03:26:07Z</dcterms:modified>
</cp:coreProperties>
</file>